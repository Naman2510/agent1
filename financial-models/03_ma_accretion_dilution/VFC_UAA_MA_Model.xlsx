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tandalone Financials" sheetId="2" state="visible" r:id="rId2"/>
    <sheet name="Transaction &amp; PPA" sheetId="3" state="visible" r:id="rId3"/>
    <sheet name="Pro Forma &amp; Accretion-Dilution" sheetId="4" state="visible" r:id="rId4"/>
    <sheet name="Sensitivity" sheetId="5" state="visible" r:id="rId5"/>
    <sheet name="Sources &amp; Assumptions" sheetId="6" state="visible" r:id="rId6"/>
  </sheets>
  <definedNames/>
  <calcPr calcId="0" fullCalcOnLoad="1" iterate="0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#,##0.00;(#,##0.00);&quot;-&quot;"/>
    <numFmt numFmtId="166" formatCode="$#,##0.00;($#,##0.00);&quot;-&quot;"/>
    <numFmt numFmtId="167" formatCode="0.00%;(0.00%);&quot;-&quot;"/>
    <numFmt numFmtId="168" formatCode="0.0%;(0.0%);&quot;-&quot;"/>
  </numFmts>
  <fonts count="1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i val="1"/>
      <sz val="10"/>
    </font>
    <font>
      <name val="Arial"/>
      <b val="1"/>
      <color rgb="00C00000"/>
      <sz val="10"/>
    </font>
    <font>
      <name val="Arial"/>
      <i val="1"/>
      <color rgb="00C00000"/>
      <sz val="9"/>
    </font>
    <font>
      <name val="Arial"/>
      <b val="1"/>
      <color rgb="00008000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i val="1"/>
      <color rgb="00A6A6A6"/>
      <sz val="9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0000FF"/>
      <sz val="10"/>
    </font>
    <font>
      <name val="Arial"/>
      <b val="1"/>
      <color rgb="00BF8F00"/>
      <sz val="10"/>
    </font>
    <font>
      <name val="Arial"/>
      <b val="1"/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2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11" fillId="4" borderId="0" applyAlignment="1" pivotButton="0" quotePrefix="0" xfId="0">
      <alignment horizontal="center"/>
    </xf>
    <xf numFmtId="164" fontId="9" fillId="0" borderId="0" pivotButton="0" quotePrefix="0" xfId="0"/>
    <xf numFmtId="164" fontId="7" fillId="0" borderId="0" pivotButton="0" quotePrefix="0" xfId="0"/>
    <xf numFmtId="0" fontId="12" fillId="0" borderId="0" pivotButton="0" quotePrefix="0" xfId="0"/>
    <xf numFmtId="168" fontId="9" fillId="5" borderId="0" pivotButton="0" quotePrefix="0" xfId="0"/>
    <xf numFmtId="167" fontId="7" fillId="0" borderId="0" pivotButton="0" quotePrefix="0" xfId="0"/>
    <xf numFmtId="0" fontId="9" fillId="5" borderId="0" pivotButton="0" quotePrefix="0" xfId="0"/>
    <xf numFmtId="164" fontId="8" fillId="0" borderId="0" pivotButton="0" quotePrefix="0" xfId="0"/>
    <xf numFmtId="164" fontId="9" fillId="5" borderId="0" pivotButton="0" quotePrefix="0" xfId="0"/>
    <xf numFmtId="165" fontId="9" fillId="0" borderId="0" pivotButton="0" quotePrefix="0" xfId="0"/>
    <xf numFmtId="165" fontId="7" fillId="0" borderId="0" pivotButton="0" quotePrefix="0" xfId="0"/>
    <xf numFmtId="166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3" borderId="0" pivotButton="0" quotePrefix="0" xfId="0"/>
    <xf numFmtId="166" fontId="9" fillId="5" borderId="0" pivotButton="0" quotePrefix="0" xfId="0"/>
    <xf numFmtId="164" fontId="0" fillId="0" borderId="0" pivotButton="0" quotePrefix="0" xfId="0"/>
    <xf numFmtId="166" fontId="8" fillId="2" borderId="0" pivotButton="0" quotePrefix="0" xfId="0"/>
    <xf numFmtId="165" fontId="10" fillId="0" borderId="0" pivotButton="0" quotePrefix="0" xfId="0"/>
    <xf numFmtId="168" fontId="7" fillId="0" borderId="0" pivotButton="0" quotePrefix="0" xfId="0"/>
    <xf numFmtId="167" fontId="9" fillId="5" borderId="0" pivotButton="0" quotePrefix="0" xfId="0"/>
    <xf numFmtId="164" fontId="13" fillId="3" borderId="0" pivotButton="0" quotePrefix="0" xfId="0"/>
    <xf numFmtId="164" fontId="8" fillId="0" borderId="1" pivotButton="0" quotePrefix="0" xfId="0"/>
    <xf numFmtId="164" fontId="14" fillId="0" borderId="0" pivotButton="0" quotePrefix="0" xfId="0"/>
    <xf numFmtId="165" fontId="8" fillId="2" borderId="0" pivotButton="0" quotePrefix="0" xfId="0"/>
    <xf numFmtId="164" fontId="8" fillId="2" borderId="0" pivotButton="0" quotePrefix="0" xfId="0"/>
    <xf numFmtId="1" fontId="9" fillId="5" borderId="0" pivotButton="0" quotePrefix="0" xfId="0"/>
    <xf numFmtId="164" fontId="10" fillId="0" borderId="0" pivotButton="0" quotePrefix="0" xfId="0"/>
    <xf numFmtId="166" fontId="10" fillId="0" borderId="0" pivotButton="0" quotePrefix="0" xfId="0"/>
    <xf numFmtId="166" fontId="7" fillId="0" borderId="0" pivotButton="0" quotePrefix="0" xfId="0"/>
    <xf numFmtId="168" fontId="8" fillId="2" borderId="0" pivotButton="0" quotePrefix="0" xfId="0"/>
    <xf numFmtId="0" fontId="0" fillId="0" borderId="0" applyAlignment="1" pivotButton="0" quotePrefix="0" xfId="0">
      <alignment wrapText="1"/>
    </xf>
    <xf numFmtId="168" fontId="8" fillId="3" borderId="0" pivotButton="0" quotePrefix="0" xfId="0"/>
    <xf numFmtId="168" fontId="0" fillId="0" borderId="0" pivotButton="0" quotePrefix="0" xfId="0"/>
    <xf numFmtId="0" fontId="11" fillId="4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Model Author</author>
  </authors>
  <commentList>
    <comment ref="B6" authorId="0" shapeId="0">
      <text>
        <t>Source: VF Corp FY2025 10-K — revenue $9.50bn (FY ended 3/29/2025), down 4.1% YoY.</t>
      </text>
    </comment>
    <comment ref="H6" authorId="0" shapeId="0">
      <text>
        <t>Source: Under Armour FY2025 10-K — revenue $4.97bn (FY ended 3/31/2025), down from $5.31bn.</t>
      </text>
    </comment>
    <comment ref="B8" authorId="0" shapeId="0">
      <text>
        <t>Source: VFC EBITDA (TTM) ~$902.6mm, Sept-2026 market data snapshot.</t>
      </text>
    </comment>
    <comment ref="H8" authorId="0" shapeId="0">
      <text>
        <t>Source: Under Armour FY2025 10-K/earnings release — adjusted net income $135mm; adjusted diluted EPS $0.31 (consistent with 135/429mm shares = $0.31).</t>
      </text>
    </comment>
    <comment ref="B10" authorId="0" shapeId="0">
      <text>
        <t>Source: VFC FY2025 10-K cash flow statement — 'depreciation, amortization and other asset write-downs' $259.6mm.</t>
      </text>
    </comment>
    <comment ref="H10" authorId="0" shapeId="0">
      <text>
        <t>Source: Under Armour FY2025 10-K — operating loss $72mm (GAAP); net loss $201mm.</t>
      </text>
    </comment>
    <comment ref="I11" authorId="0" shapeId="0">
      <text>
        <t>Year 1E figure ($102.5mm midpoint) is grounded in Under Armour's REAL disclosed guidance: 'raised FY2026 adjusted operating income outlook to $95-110mm.' Year 2E/3E ($130mm/$160mm) are illustrative continued-turnaround assumptions.</t>
      </text>
    </comment>
    <comment ref="B12" authorId="0" shapeId="0">
      <text>
        <t>ESTIMATE — exact FY2025 interest expense not retrieved this session; derived as ~6.5% x total debt of ~$4,507mm (LT debt $3,966mm + current portion $541mm).</t>
      </text>
    </comment>
    <comment ref="B13" authorId="0" shapeId="0">
      <text>
        <t>Source: VFC FY2025 10-K — income from continuing operations $69.3mm ($0.18/diluted share). NOTE: this GAAP figure includes numerous restructuring/other items not individually modeled in the EBITDA/EBIT/interest rows above, so those memo rows do not arithmetically reconcile to this line for FY2025A — see Sources &amp; Assumptions.</t>
      </text>
    </comment>
    <comment ref="B14" authorId="0" shapeId="0">
      <text>
        <t>Source: VFC shares outstanding, Sept-2026 market data.</t>
      </text>
    </comment>
    <comment ref="H14" authorId="0" shapeId="0">
      <text>
        <t>Source: sum of Class A (188.83mm) + Class B (34.45mm) + Class C (205.54mm) shares outstanding, mid-2025 proxy/10-K disclosure.</t>
      </text>
    </comment>
  </commentList>
</comments>
</file>

<file path=xl/comments/comment2.xml><?xml version="1.0" encoding="utf-8"?>
<comments xmlns="http://schemas.openxmlformats.org/spreadsheetml/2006/main">
  <authors>
    <author>Model Author</author>
  </authors>
  <commentList>
    <comment ref="B34" authorId="0" shapeId="0">
      <text>
        <t>Source: Under Armour FY2025 10-K — total equity $1.890bn (as of 3/31/2025).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60" customWidth="1" min="3" max="3"/>
    <col width="16" customWidth="1" min="4" max="4"/>
  </cols>
  <sheetData>
    <row r="2">
      <c r="B2" s="1" t="inlineStr">
        <is>
          <t>Project Trailhead — Hypothetical Strategic Combination</t>
        </is>
      </c>
    </row>
    <row r="3">
      <c r="B3" s="2" t="inlineStr">
        <is>
          <t>VF Corporation (NYSE: VFC, Acquirer) to acquire Under Armour, Inc. (NYSE: UAA, Target)</t>
        </is>
      </c>
    </row>
    <row r="5">
      <c r="B5" s="3" t="inlineStr">
        <is>
          <t>Sector: Branded Apparel &amp; Footwear   |   $ in millions except per-share data, unless noted</t>
        </is>
      </c>
    </row>
    <row r="7">
      <c r="B7" s="4" t="inlineStr">
        <is>
          <t>IMPORTANT: This is a HYPOTHETICAL transaction. Neither company has proposed or announced this deal.</t>
        </is>
      </c>
    </row>
    <row r="8">
      <c r="B8" s="5" t="inlineStr">
        <is>
          <t>Built for illustrative financial-modeling purposes on both companies' real reported financials. Not investment advice.</t>
        </is>
      </c>
    </row>
    <row r="10">
      <c r="B10" s="6" t="inlineStr">
        <is>
          <t>Standalone Financials</t>
        </is>
      </c>
      <c r="C10" s="7" t="inlineStr">
        <is>
          <t>VFC and UAA standalone historicals (FY2025A) + 3-year projections, side by side</t>
        </is>
      </c>
    </row>
    <row r="11">
      <c r="B11" s="6" t="inlineStr">
        <is>
          <t>Transaction &amp; PPA</t>
        </is>
      </c>
      <c r="C11" s="7" t="inlineStr">
        <is>
          <t>Offer terms, consideration mix, sources &amp; uses, purchase price allocation and goodwill</t>
        </is>
      </c>
    </row>
    <row r="12">
      <c r="B12" s="6" t="inlineStr">
        <is>
          <t>Pro Forma &amp; Accretion-Dilution</t>
        </is>
      </c>
      <c r="C12" s="7" t="inlineStr">
        <is>
          <t>Combined income statement, synergies phase-in, and EPS accretion/(dilution) vs. VFC standalone</t>
        </is>
      </c>
    </row>
    <row r="13">
      <c r="B13" s="6" t="inlineStr">
        <is>
          <t>Sensitivity</t>
        </is>
      </c>
      <c r="C13" s="7" t="inlineStr">
        <is>
          <t>Accretion/dilution sensitivity: stock/cash mix and synergies realization</t>
        </is>
      </c>
    </row>
    <row r="14">
      <c r="B14" s="6" t="inlineStr">
        <is>
          <t>Sources &amp; Assumptions</t>
        </is>
      </c>
      <c r="C14" s="7" t="inlineStr">
        <is>
          <t>Full citation list and explicit disclosure of every estimated input</t>
        </is>
      </c>
    </row>
    <row r="16">
      <c r="B16" s="8" t="inlineStr">
        <is>
          <t>Color legend:</t>
        </is>
      </c>
    </row>
    <row r="17">
      <c r="B17" s="9" t="inlineStr">
        <is>
          <t>Blue text</t>
        </is>
      </c>
      <c r="C17" t="inlineStr">
        <is>
          <t>hardcoded input / sourced actual</t>
        </is>
      </c>
    </row>
    <row r="18">
      <c r="B18" s="7" t="inlineStr">
        <is>
          <t>Black text</t>
        </is>
      </c>
      <c r="C18" t="inlineStr">
        <is>
          <t>formula (same-sheet)</t>
        </is>
      </c>
    </row>
    <row r="19">
      <c r="B19" s="10" t="inlineStr">
        <is>
          <t>Green text</t>
        </is>
      </c>
      <c r="C19" t="inlineStr">
        <is>
          <t>formula linking to another sheet</t>
        </is>
      </c>
    </row>
    <row r="20">
      <c r="B20" s="11" t="inlineStr">
        <is>
          <t>Yellow fill</t>
        </is>
      </c>
      <c r="C20" t="inlineStr">
        <is>
          <t>key output / key assumption cell</t>
        </is>
      </c>
    </row>
  </sheetData>
  <pageMargins left="0.75" right="0.75" top="1" bottom="1" header="0.5" footer="0.5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K17"/>
  <s:sheetViews>
    <s:sheetView workbookViewId="0">
      <s:pane xSplit="1" ySplit="5" topLeftCell="B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0" customWidth="1" min="1" max="1"/>
    <s:col width="13" customWidth="1" min="2" max="2"/>
    <s:col width="13" customWidth="1" min="3" max="3"/>
    <s:col width="13" customWidth="1" min="4" max="4"/>
    <s:col width="13" customWidth="1" min="5" max="5"/>
    <s:col width="6" customWidth="1" min="6" max="6"/>
    <s:col width="40" customWidth="1" min="7" max="7"/>
    <s:col width="13" customWidth="1" min="8" max="8"/>
    <s:col width="13" customWidth="1" min="9" max="9"/>
    <s:col width="13" customWidth="1" min="10" max="10"/>
    <s:col width="13" customWidth="1" min="11" max="11"/>
  </s:cols>
  <s:sheetData>
    <s:row r="1">
      <s:c r="A1" s="1" t="inlineStr">
        <s:is>
          <s:t>Standalone Financials — Acquirer (VFC) &amp; Target (UAA)</s:t>
        </s:is>
      </s:c>
    </s:row>
    <s:row r="2">
      <s:c r="A2" s="2" t="inlineStr">
        <s:is>
          <s:t>FY2025A actuals sourced from each company's Form 10-K / earnings releases; Year 1E-3E are illustrative normalized projections (see Sources &amp; Assumptions).</s:t>
        </s:is>
      </s:c>
    </s:row>
    <s:row r="4">
      <s:c r="A4" s="12" t="inlineStr">
        <s:is>
          <s:t>VF CORPORATION (Acquirer) — FY ends late March</s:t>
        </s:is>
      </s:c>
      <s:c r="B4" s="13" t="n"/>
      <s:c r="C4" s="13" t="n"/>
      <s:c r="D4" s="13" t="n"/>
      <s:c r="E4" s="13" t="n"/>
      <s:c r="G4" s="12" t="inlineStr">
        <s:is>
          <s:t>UNDER ARMOUR, INC. (Target) — FY ends late March</s:t>
        </s:is>
      </s:c>
      <s:c r="H4" s="13" t="n"/>
      <s:c r="I4" s="13" t="n"/>
      <s:c r="J4" s="13" t="n"/>
      <s:c r="K4" s="13" t="n"/>
    </s:row>
    <s:row r="5">
      <s:c r="B5" s="14" t="inlineStr">
        <s:is>
          <s:t>FY2025A</s:t>
        </s:is>
      </s:c>
      <s:c r="C5" s="14" t="inlineStr">
        <s:is>
          <s:t>Year 1E</s:t>
        </s:is>
      </s:c>
      <s:c r="D5" s="14" t="inlineStr">
        <s:is>
          <s:t>Year 2E</s:t>
        </s:is>
      </s:c>
      <s:c r="E5" s="14" t="inlineStr">
        <s:is>
          <s:t>Year 3E</s:t>
        </s:is>
      </s:c>
      <s:c r="H5" s="14" t="inlineStr">
        <s:is>
          <s:t>FY2025A</s:t>
        </s:is>
      </s:c>
      <s:c r="I5" s="14" t="inlineStr">
        <s:is>
          <s:t>Year 1E</s:t>
        </s:is>
      </s:c>
      <s:c r="J5" s="14" t="inlineStr">
        <s:is>
          <s:t>Year 2E</s:t>
        </s:is>
      </s:c>
      <s:c r="K5" s="14" t="inlineStr">
        <s:is>
          <s:t>Year 3E</s:t>
        </s:is>
      </s:c>
    </s:row>
    <s:row r="6">
      <s:c r="A6" s="7" t="inlineStr">
        <s:is>
          <s:t>Revenue</s:t>
        </s:is>
      </s:c>
      <s:c r="B6" s="15" t="n">
        <s:v>9500</s:v>
      </s:c>
      <s:c r="C6" s="16">
        <s:f>B6*(1+C7)</s:f>
        <s:v>9690.0</s:v>
      </s:c>
      <s:c r="D6" s="16">
        <s:f>C6*(1+D7)</s:f>
        <s:v>9980.7</s:v>
      </s:c>
      <s:c r="E6" s="16">
        <s:f>D6*(1+E7)</s:f>
        <s:v>10280.121000000001</s:v>
      </s:c>
      <s:c r="G6" s="7" t="inlineStr">
        <s:is>
          <s:t>Revenue</s:t>
        </s:is>
      </s:c>
      <s:c r="H6" s="15" t="n">
        <s:v>4966</s:v>
      </s:c>
      <s:c r="I6" s="16">
        <s:f>H6*(1+I7)</s:f>
        <s:v>5015.66</s:v>
      </s:c>
      <s:c r="J6" s="16">
        <s:f>I6*(1+J7)</s:f>
        <s:v>5166.1298</s:v>
      </s:c>
      <s:c r="K6" s="16">
        <s:f>J6*(1+K7)</s:f>
        <s:v>5372.774992</s:v>
      </s:c>
    </s:row>
    <s:row r="7">
      <s:c r="A7" s="7" t="inlineStr">
        <s:is>
          <s:t xml:space="preserve">  % growth YoY</s:t>
        </s:is>
      </s:c>
      <s:c r="B7" s="17" t="inlineStr">
        <s:is>
          <s:t>n/a</s:t>
        </s:is>
      </s:c>
      <s:c r="C7" s="18" t="n">
        <s:v>0.02</s:v>
      </s:c>
      <s:c r="D7" s="18" t="n">
        <s:v>0.03</s:v>
      </s:c>
      <s:c r="E7" s="18" t="n">
        <s:v>0.03</s:v>
      </s:c>
      <s:c r="G7" s="7" t="inlineStr">
        <s:is>
          <s:t xml:space="preserve">  % growth YoY</s:t>
        </s:is>
      </s:c>
      <s:c r="H7" s="17" t="inlineStr">
        <s:is>
          <s:t>n/a</s:t>
        </s:is>
      </s:c>
      <s:c r="I7" s="18" t="n">
        <s:v>0.01</s:v>
      </s:c>
      <s:c r="J7" s="18" t="n">
        <s:v>0.03</s:v>
      </s:c>
      <s:c r="K7" s="18" t="n">
        <s:v>0.04</s:v>
      </s:c>
    </s:row>
    <s:row r="8">
      <s:c r="A8" s="7" t="inlineStr">
        <s:is>
          <s:t>Adjusted EBITDA (memo)</s:t>
        </s:is>
      </s:c>
      <s:c r="B8" s="15" t="n">
        <s:v>903</s:v>
      </s:c>
      <s:c r="C8" s="16">
        <s:f>C6*C9</s:f>
        <s:v>949.62</s:v>
      </s:c>
      <s:c r="D8" s="16">
        <s:f>D6*D9</s:f>
        <s:v>1018.0314</s:v>
      </s:c>
      <s:c r="E8" s="16">
        <s:f>E6*E9</s:f>
        <s:v>1099.972947</s:v>
      </s:c>
      <s:c r="G8" s="7" t="inlineStr">
        <s:is>
          <s:t>Adjusted net income (memo)</s:t>
        </s:is>
      </s:c>
      <s:c r="H8" s="15" t="n">
        <s:v>135</s:v>
      </s:c>
    </s:row>
    <s:row r="9">
      <s:c r="A9" s="7" t="inlineStr">
        <s:is>
          <s:t xml:space="preserve">  EBITDA margin %</s:t>
        </s:is>
      </s:c>
      <s:c r="B9" s="19">
        <s:f>B8/B6</s:f>
        <s:v>0.09505263157894737</s:v>
      </s:c>
      <s:c r="C9" s="20" t="n">
        <s:v>0.098</s:v>
      </s:c>
      <s:c r="D9" s="20" t="n">
        <s:v>0.102</s:v>
      </s:c>
      <s:c r="E9" s="20" t="n">
        <s:v>0.107</s:v>
      </s:c>
      <s:c r="G9" s="7" t="inlineStr">
        <s:is>
          <s:t xml:space="preserve">  Adjusted net margin %</s:t>
        </s:is>
      </s:c>
      <s:c r="H9" s="19">
        <s:f>H8/H6</s:f>
        <s:v>0.027184857027788965</s:v>
      </s:c>
      <s:c r="I9" s="19">
        <s:f>I11*(1-I12)/I6</s:f>
        <s:v>0.018392395018801116</s:v>
      </s:c>
      <s:c r="J9" s="19">
        <s:f>J11*(1-J12)/J6</s:f>
        <s:v>0.02264751458625759</s:v>
      </s:c>
      <s:c r="K9" s="19">
        <s:f>K11*(1-K12)/K6</s:f>
        <s:v>0.026801792409772297</s:v>
      </s:c>
    </s:row>
    <s:row r="10">
      <s:c r="A10" s="7" t="inlineStr">
        <s:is>
          <s:t>D&amp;A</s:t>
        </s:is>
      </s:c>
      <s:c r="B10" s="15" t="n">
        <s:v>259.6</s:v>
      </s:c>
      <s:c r="C10" s="16">
        <s:f>C6*$B$10/$B$6</s:f>
        <s:v>264.792</s:v>
      </s:c>
      <s:c r="D10" s="16">
        <s:f>D6*$B$10/$B$6</s:f>
        <s:v>272.73576</s:v>
      </s:c>
      <s:c r="E10" s="16">
        <s:f>E6*$B$10/$B$6</s:f>
        <s:v>280.9178328000001</s:v>
      </s:c>
      <s:c r="G10" s="7" t="inlineStr">
        <s:is>
          <s:t>Operating loss, GAAP (memo)</s:t>
        </s:is>
      </s:c>
      <s:c r="H10" s="15" t="n">
        <s:v>-72</s:v>
      </s:c>
    </s:row>
    <s:row r="11">
      <s:c r="A11" s="7" t="inlineStr">
        <s:is>
          <s:t>Adjusted EBIT (memo, = EBITDA - D&amp;A)</s:t>
        </s:is>
      </s:c>
      <s:c r="B11" s="21">
        <s:f>B8-B10</s:f>
        <s:v>643.4</s:v>
      </s:c>
      <s:c r="C11" s="21">
        <s:f>C8-C10</s:f>
        <s:v>684.828</s:v>
      </s:c>
      <s:c r="D11" s="21">
        <s:f>D8-D10</s:f>
        <s:v>745.2956399999999</s:v>
      </s:c>
      <s:c r="E11" s="21">
        <s:f>E8-E10</s:f>
        <s:v>819.0551141999999</s:v>
      </s:c>
      <s:c r="G11" s="7" t="inlineStr">
        <s:is>
          <s:t>Adjusted EBIT (memo — projected years only)</s:t>
        </s:is>
      </s:c>
      <s:c r="H11" s="17" t="inlineStr">
        <s:is>
          <s:t>n/a</s:t>
        </s:is>
      </s:c>
      <s:c r="I11" s="22" t="n">
        <s:v>102.5</s:v>
      </s:c>
      <s:c r="J11" s="22" t="n">
        <s:v>130</s:v>
      </s:c>
      <s:c r="K11" s="22" t="n">
        <s:v>160</s:v>
      </s:c>
    </s:row>
    <s:row r="12">
      <s:c r="A12" s="7" t="inlineStr">
        <s:is>
          <s:t>Interest expense, net</s:t>
        </s:is>
      </s:c>
      <s:c r="B12" s="15" t="n">
        <s:v>-293</s:v>
      </s:c>
      <s:c r="C12" s="16">
        <s:f>B12*0.98</s:f>
        <s:v>-287.14</s:v>
      </s:c>
      <s:c r="D12" s="16">
        <s:f>C12*0.98</s:f>
        <s:v>-281.3972</s:v>
      </s:c>
      <s:c r="E12" s="16">
        <s:f>D12*0.98</s:f>
        <s:v>-275.769256</s:v>
      </s:c>
      <s:c r="G12" s="7" t="inlineStr">
        <s:is>
          <s:t>Normalized cash tax rate (NOL-shielded)</s:t>
        </s:is>
      </s:c>
      <s:c r="H12" s="17" t="inlineStr">
        <s:is>
          <s:t>n/a</s:t>
        </s:is>
      </s:c>
      <s:c r="I12" s="18" t="n">
        <s:v>0.1</s:v>
      </s:c>
      <s:c r="J12" s="18" t="n">
        <s:v>0.1</s:v>
      </s:c>
      <s:c r="K12" s="18" t="n">
        <s:v>0.1</s:v>
      </s:c>
    </s:row>
    <s:row r="13">
      <s:c r="A13" s="7" t="inlineStr">
        <s:is>
          <s:t>Net income (income from continuing operations)</s:t>
        </s:is>
      </s:c>
      <s:c r="B13" s="15" t="n">
        <s:v>69.3</s:v>
      </s:c>
      <s:c r="C13" s="16">
        <s:f>(C11+C12)*(1-0.25)</s:f>
        <s:v>298.26599999999996</s:v>
      </s:c>
      <s:c r="D13" s="16">
        <s:f>(D11+D12)*(1-0.25)</s:f>
        <s:v>347.92382999999995</s:v>
      </s:c>
      <s:c r="E13" s="16">
        <s:f>(E11+E12)*(1-0.25)</s:f>
        <s:v>407.4643936499999</s:v>
      </s:c>
      <s:c r="G13" s="7" t="inlineStr">
        <s:is>
          <s:t>Adjusted net income (used for EPS)</s:t>
        </s:is>
      </s:c>
      <s:c r="H13" s="16">
        <s:f>H8</s:f>
        <s:v>135.0</s:v>
      </s:c>
      <s:c r="I13" s="16">
        <s:f>I11*(1-I12)</s:f>
        <s:v>92.25</s:v>
      </s:c>
      <s:c r="J13" s="16">
        <s:f>J11*(1-J12)</s:f>
        <s:v>117.0</s:v>
      </s:c>
      <s:c r="K13" s="16">
        <s:f>K11*(1-K12)</s:f>
        <s:v>144.0</s:v>
      </s:c>
    </s:row>
    <s:row r="14">
      <s:c r="A14" s="7" t="inlineStr">
        <s:is>
          <s:t>Diluted shares outstanding, mm</s:t>
        </s:is>
      </s:c>
      <s:c r="B14" s="23" t="n">
        <s:v>393.13</s:v>
      </s:c>
      <s:c r="C14" s="24">
        <s:f>$B$14</s:f>
        <s:v>393.13</s:v>
      </s:c>
      <s:c r="D14" s="24">
        <s:f>$B$14</s:f>
        <s:v>393.13</s:v>
      </s:c>
      <s:c r="E14" s="24">
        <s:f>$B$14</s:f>
        <s:v>393.13</s:v>
      </s:c>
      <s:c r="G14" s="7" t="inlineStr">
        <s:is>
          <s:t>Diluted shares outstanding, mm</s:t>
        </s:is>
      </s:c>
      <s:c r="H14" s="23" t="n">
        <s:v>429</s:v>
      </s:c>
      <s:c r="I14" s="24">
        <s:f>$H$14</s:f>
        <s:v>429.0</s:v>
      </s:c>
      <s:c r="J14" s="24">
        <s:f>$H$14</s:f>
        <s:v>429.0</s:v>
      </s:c>
      <s:c r="K14" s="24">
        <s:f>$H$14</s:f>
        <s:v>429.0</s:v>
      </s:c>
    </s:row>
    <s:row r="15">
      <s:c r="A15" s="8" t="inlineStr">
        <s:is>
          <s:t>Diluted EPS (as reported)</s:t>
        </s:is>
      </s:c>
      <s:c r="B15" s="25">
        <s:f>B13/B14</s:f>
        <s:v>0.17627756721695112</s:v>
      </s:c>
      <s:c r="C15" s="25">
        <s:f>C13/C14</s:f>
        <s:v>0.7586955968763512</s:v>
      </s:c>
      <s:c r="D15" s="25">
        <s:f>D13/D14</s:f>
        <s:v>0.88500961514003</s:v>
      </s:c>
      <s:c r="E15" s="25">
        <s:f>E13/E14</s:f>
        <s:v>1.0364622228016176</s:v>
      </s:c>
      <s:c r="G15" s="8" t="inlineStr">
        <s:is>
          <s:t>Adjusted diluted EPS</s:t>
        </s:is>
      </s:c>
      <s:c r="H15" s="25">
        <s:f>H13/H14</s:f>
        <s:v>0.3146853146853147</s:v>
      </s:c>
      <s:c r="I15" s="25">
        <s:f>I13/I14</s:f>
        <s:v>0.21503496503496503</s:v>
      </s:c>
      <s:c r="J15" s="25">
        <s:f>J13/J14</s:f>
        <s:v>0.2727272727272727</s:v>
      </s:c>
      <s:c r="K15" s="25">
        <s:f>K13/K14</s:f>
        <s:v>0.3356643356643357</s:v>
      </s:c>
    </s:row>
    <s:row r="17" ht="75" customHeight="1">
      <s:c r="A17" s="26" t="inlineStr">
        <s:is>
          <s:t>NOTE: FY2025A net income/EPS for both companies are as-reported (VFC) or company-defined-adjusted (UAA) figures containing one-time and non-operating items not individually decomposed here (restructuring, discontinued operations, impairments, tax valuation allowances). The memo EBITDA/EBIT rows are contextual reference points, not a full walk to net income for FY2025A. Year 1E-3E projections build a clean, normalized bridge — standard practice when a base year is distorted by one-time items. See Sources &amp; Assumptions for full detail and real disclosed guidance used to calibrate these assumptions (e.g., VFC's FY2026 disclosed ~7% operating margin; UAA's raised FY2026 adjusted operating income outlook of $95-110mm).</s:t>
        </s:is>
      </s:c>
    </s:row>
  </s:sheetData>
  <s:mergeCells count="1">
    <s:mergeCell ref="A17:K17"/>
  </s:mergeCells>
  <s:pageMargins left="0.75" right="0.75" top="1" bottom="1" header="0.5" footer="0.5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40"/>
  <s:sheetViews>
    <s:sheetView workbookViewId="0">
      <s:pane ySplit="2" topLeftCell="A3" activePane="bottomLeft" state="frozen"/>
      <s:selection pane="bottomLeft" activeCell="A1" sqref="A1"/>
    </s:sheetView>
  </s:sheetViews>
  <s:sheetFormatPr baseColWidth="8" defaultRowHeight="15"/>
  <s:cols>
    <s:col width="50" customWidth="1" min="1" max="1"/>
    <s:col width="15" customWidth="1" min="2" max="2"/>
    <s:col width="15" customWidth="1" min="3" max="3"/>
    <s:col width="55" customWidth="1" min="4" max="4"/>
  </s:cols>
  <s:sheetData>
    <s:row r="1">
      <s:c r="A1" s="1" t="inlineStr">
        <s:is>
          <s:t>Transaction Terms, Sources &amp; Uses, and Purchase Price Allocation</s:t>
        </s:is>
      </s:c>
    </s:row>
    <s:row r="3">
      <s:c r="A3" s="27" t="inlineStr">
        <s:is>
          <s:t>OFFER TERMS</s:t>
        </s:is>
      </s:c>
      <s:c r="B3" s="27" t="n"/>
      <s:c r="C3" s="27" t="n"/>
      <s:c r="D3" s="27" t="n"/>
    </s:row>
    <s:row r="4">
      <s:c r="A4" s="7" t="inlineStr">
        <s:is>
          <s:t>UAA undisturbed share price</s:t>
        </s:is>
      </s:c>
      <s:c r="B4" s="28" t="n">
        <s:v>5.06</s:v>
      </s:c>
      <s:c r="C4" s="29" t="n"/>
      <s:c r="D4" t="inlineStr">
        <s:is>
          <s:t>Source: UAA share price, Sept 8, 2026 market data.</s:t>
        </s:is>
      </s:c>
    </s:row>
    <s:row r="5">
      <s:c r="A5" s="7" t="inlineStr">
        <s:is>
          <s:t>Offer premium</s:t>
        </s:is>
      </s:c>
      <s:c r="B5" s="18" t="n">
        <s:v>0.35</s:v>
      </s:c>
      <s:c r="C5" s="29" t="n"/>
      <s:c r="D5" t="inlineStr">
        <s:is>
          <s:t>Assumption: in line with strategic-deal premiums for a turnaround target (typically 25%-45%).</s:t>
        </s:is>
      </s:c>
    </s:row>
    <s:row r="6">
      <s:c r="A6" s="8" t="inlineStr">
        <s:is>
          <s:t>Offer price per share</s:t>
        </s:is>
      </s:c>
      <s:c r="B6" s="30">
        <s:f>B4*(1+B5)</s:f>
        <s:v>6.8309999999999995</s:v>
      </s:c>
      <s:c r="C6" s="29" t="n"/>
    </s:row>
    <s:row r="7">
      <s:c r="A7" s="7" t="inlineStr">
        <s:is>
          <s:t>UAA diluted shares outstanding, mm</s:t>
        </s:is>
      </s:c>
      <s:c r="B7" s="31">
        <s:f>'Standalone Financials'!H14</s:f>
        <s:v>429.0</s:v>
      </s:c>
      <s:c r="C7" s="29" t="n"/>
    </s:row>
    <s:row r="8">
      <s:c r="A8" s="8" t="inlineStr">
        <s:is>
          <s:t>Equity purchase price</s:t>
        </s:is>
      </s:c>
      <s:c r="B8" s="21">
        <s:f>B6*B7</s:f>
        <s:v>2930.499</s:v>
      </s:c>
      <s:c r="C8" s="29" t="n"/>
    </s:row>
    <s:row r="9">
      <s:c r="A9" s="7" t="inlineStr">
        <s:is>
          <s:t>% cash consideration</s:t>
        </s:is>
      </s:c>
      <s:c r="B9" s="18" t="n">
        <s:v>0.5</s:v>
      </s:c>
      <s:c r="C9" s="29" t="n"/>
    </s:row>
    <s:row r="10">
      <s:c r="A10" s="7" t="inlineStr">
        <s:is>
          <s:t>% stock consideration</s:t>
        </s:is>
      </s:c>
      <s:c r="B10" s="32">
        <s:f>1-B9</s:f>
        <s:v>0.5</s:v>
      </s:c>
      <s:c r="C10" s="29" t="n"/>
    </s:row>
    <s:row r="11">
      <s:c r="A11" s="7" t="inlineStr">
        <s:is>
          <s:t>Estimated transaction fees, % of equity purchase price</s:t>
        </s:is>
      </s:c>
      <s:c r="B11" s="18" t="n">
        <s:v>0.015</s:v>
      </s:c>
      <s:c r="C11" s="29" t="n"/>
    </s:row>
    <s:row r="12">
      <s:c r="A12" s="7" t="inlineStr">
        <s:is>
          <s:t>New acquisition debt interest rate</s:t>
        </s:is>
      </s:c>
      <s:c r="B12" s="33" t="n">
        <s:v>0.075</s:v>
      </s:c>
      <s:c r="C12" s="29" t="n"/>
      <s:c r="D12" t="inlineStr">
        <s:is>
          <s:t>ESTIMATE — reflects VFC's elevated leverage/credit profile (Debt/Equity ~2.8x); consistent with the ~6.5% blended rate estimated on VFC's existing debt plus a modest new-issue premium.</s:t>
        </s:is>
      </s:c>
    </s:row>
    <s:row r="13">
      <s:c r="A13" s="7" t="inlineStr">
        <s:is>
          <s:t>VF Corporation current share price</s:t>
        </s:is>
      </s:c>
      <s:c r="B13" s="28" t="n">
        <s:v>14.97</s:v>
      </s:c>
      <s:c r="C13" s="29" t="n"/>
      <s:c r="D13" t="inlineStr">
        <s:is>
          <s:t>Source: VFC share price, Sept 2026 market data.</s:t>
        </s:is>
      </s:c>
    </s:row>
    <s:row r="14">
      <s:c r="C14" s="29" t="n"/>
    </s:row>
    <s:row r="15">
      <s:c r="A15" s="27" t="inlineStr">
        <s:is>
          <s:t>SOURCES &amp; USES</s:t>
        </s:is>
      </s:c>
      <s:c r="B15" s="27" t="n"/>
      <s:c r="C15" s="34" t="n"/>
      <s:c r="D15" s="27" t="n"/>
    </s:row>
    <s:row r="16">
      <s:c r="A16" s="8" t="inlineStr">
        <s:is>
          <s:t>USES</s:t>
        </s:is>
      </s:c>
      <s:c r="C16" s="29" t="n"/>
    </s:row>
    <s:row r="17">
      <s:c r="A17" s="7" t="inlineStr">
        <s:is>
          <s:t xml:space="preserve">  Equity purchase price</s:t>
        </s:is>
      </s:c>
      <s:c r="B17" s="16">
        <s:f>B8</s:f>
        <s:v>2930.499</s:v>
      </s:c>
      <s:c r="C17" s="29" t="n"/>
    </s:row>
    <s:row r="18">
      <s:c r="A18" s="7" t="inlineStr">
        <s:is>
          <s:t xml:space="preserve">  Estimated transaction fees</s:t>
        </s:is>
      </s:c>
      <s:c r="B18" s="16">
        <s:f>B8*B11</s:f>
        <s:v>43.957485</s:v>
      </s:c>
      <s:c r="C18" s="29" t="n"/>
    </s:row>
    <s:row r="19">
      <s:c r="A19" s="8" t="inlineStr">
        <s:is>
          <s:t xml:space="preserve">  Total uses</s:t>
        </s:is>
      </s:c>
      <s:c r="B19" s="35">
        <s:f>SUM(B17:B18)</s:f>
        <s:v>2974.4564849999997</s:v>
      </s:c>
      <s:c r="C19" s="29" t="n"/>
    </s:row>
    <s:row r="20">
      <s:c r="C20" s="29" t="n"/>
    </s:row>
    <s:row r="21">
      <s:c r="A21" s="8" t="inlineStr">
        <s:is>
          <s:t>SOURCES</s:t>
        </s:is>
      </s:c>
      <s:c r="C21" s="29" t="n"/>
    </s:row>
    <s:row r="22">
      <s:c r="A22" s="7" t="inlineStr">
        <s:is>
          <s:t xml:space="preserve">  New acquisition debt (funds cash consideration + fees)</s:t>
        </s:is>
      </s:c>
      <s:c r="B22" s="16">
        <s:f>B8*B9+B19-B8</s:f>
        <s:v>1509.2069849999998</s:v>
      </s:c>
      <s:c r="C22" s="29" t="n"/>
    </s:row>
    <s:row r="23">
      <s:c r="A23" s="7" t="inlineStr">
        <s:is>
          <s:t xml:space="preserve">  New VF Corporation stock issued to UAA holders</s:t>
        </s:is>
      </s:c>
      <s:c r="B23" s="16">
        <s:f>B8*B10</s:f>
        <s:v>1465.2495</s:v>
      </s:c>
      <s:c r="C23" s="29" t="n"/>
    </s:row>
    <s:row r="24">
      <s:c r="A24" s="8" t="inlineStr">
        <s:is>
          <s:t xml:space="preserve">  Total sources</s:t>
        </s:is>
      </s:c>
      <s:c r="B24" s="35">
        <s:f>B22+B23</s:f>
        <s:v>2974.4564849999997</s:v>
      </s:c>
      <s:c r="C24" s="29" t="n"/>
    </s:row>
    <s:row r="25">
      <s:c r="A25" s="7" t="inlineStr">
        <s:is>
          <s:t xml:space="preserve">  Check: sources = uses</s:t>
        </s:is>
      </s:c>
      <s:c r="B25" s="36">
        <s:f>B24-B19</s:f>
        <s:v>0.0</s:v>
      </s:c>
      <s:c r="C25" s="29" t="n"/>
    </s:row>
    <s:row r="26">
      <s:c r="C26" s="29" t="n"/>
    </s:row>
    <s:row r="27">
      <s:c r="A27" s="8" t="inlineStr">
        <s:is>
          <s:t>New VFC shares issued, mm</s:t>
        </s:is>
      </s:c>
      <s:c r="B27" s="37">
        <s:f>B23/B13</s:f>
        <s:v>97.87905811623246</s:v>
      </s:c>
      <s:c r="C27" s="29" t="n"/>
    </s:row>
    <s:row r="28">
      <s:c r="A28" s="7" t="inlineStr">
        <s:is>
          <s:t>VFC pre-deal diluted shares, mm</s:t>
        </s:is>
      </s:c>
      <s:c r="B28" s="31">
        <s:f>'Standalone Financials'!B14</s:f>
        <s:v>393.13</s:v>
      </s:c>
      <s:c r="C28" s="29" t="n"/>
    </s:row>
    <s:row r="29">
      <s:c r="A29" s="8" t="inlineStr">
        <s:is>
          <s:t>Pro forma combined diluted shares, mm</s:t>
        </s:is>
      </s:c>
      <s:c r="B29" s="37">
        <s:f>B27+B28</s:f>
        <s:v>491.00905811623244</s:v>
      </s:c>
      <s:c r="C29" s="29" t="n"/>
    </s:row>
    <s:row r="30">
      <s:c r="A30" s="7" t="inlineStr">
        <s:is>
          <s:t>New acquisition debt interest expense, $/yr</s:t>
        </s:is>
      </s:c>
      <s:c r="B30" s="16">
        <s:f>B22*B12</s:f>
        <s:v>113.19052387499998</s:v>
      </s:c>
      <s:c r="C30" s="29" t="n"/>
    </s:row>
    <s:row r="31">
      <s:c r="C31" s="29" t="n"/>
    </s:row>
    <s:row r="32">
      <s:c r="A32" s="27" t="inlineStr">
        <s:is>
          <s:t>PURCHASE PRICE ALLOCATION &amp; GOODWILL</s:t>
        </s:is>
      </s:c>
      <s:c r="B32" s="27" t="n"/>
      <s:c r="C32" s="34" t="n"/>
      <s:c r="D32" s="27" t="n"/>
    </s:row>
    <s:row r="33">
      <s:c r="A33" s="7" t="inlineStr">
        <s:is>
          <s:t>Purchase price (equity value paid to UAA holders)</s:t>
        </s:is>
      </s:c>
      <s:c r="B33" s="16">
        <s:f>B8</s:f>
        <s:v>2930.499</s:v>
      </s:c>
      <s:c r="C33" s="29" t="n"/>
    </s:row>
    <s:row r="34">
      <s:c r="A34" s="7" t="inlineStr">
        <s:is>
          <s:t>Less: book value of UAA net assets (total equity)</s:t>
        </s:is>
      </s:c>
      <s:c r="B34" s="15">
        <s:f>-1890</s:f>
        <s:v>-1890.0</s:v>
      </s:c>
      <s:c r="C34" s="29" t="n"/>
    </s:row>
    <s:row r="35">
      <s:c r="A35" s="7" t="inlineStr">
        <s:is>
          <s:t>Plus: fair value step-up — identifiable intangibles (brand, customer relationships)</s:t>
        </s:is>
      </s:c>
      <s:c r="B35" s="22" t="n">
        <s:v>400</s:v>
      </s:c>
      <s:c r="C35" s="29" t="n"/>
      <s:c r="D35" t="inlineStr">
        <s:is>
          <s:t>ESTIMATE — illustrative fair-value step-up; amortized over an assumed 15-year useful life (see below).</s:t>
        </s:is>
      </s:c>
    </s:row>
    <s:row r="36">
      <s:c r="A36" s="7" t="inlineStr">
        <s:is>
          <s:t>Less: deferred tax liability on step-up</s:t>
        </s:is>
      </s:c>
      <s:c r="B36" s="16">
        <s:f>-B35*0.25</s:f>
        <s:v>-100.0</s:v>
      </s:c>
      <s:c r="C36" s="29" t="n"/>
    </s:row>
    <s:row r="37">
      <s:c r="A37" s="8" t="inlineStr">
        <s:is>
          <s:t>Fair value of net identifiable assets acquired</s:t>
        </s:is>
      </s:c>
      <s:c r="B37" s="21">
        <s:f>-B34+B35+B36</s:f>
        <s:v>2190.0</s:v>
      </s:c>
      <s:c r="C37" s="29" t="n"/>
    </s:row>
    <s:row r="38">
      <s:c r="A38" s="8" t="inlineStr">
        <s:is>
          <s:t>Goodwill (plug)</s:t>
        </s:is>
      </s:c>
      <s:c r="B38" s="38">
        <s:f>B8-B37</s:f>
        <s:v>740.4989999999998</s:v>
      </s:c>
      <s:c r="C38" s="29" t="n"/>
    </s:row>
    <s:row r="39">
      <s:c r="A39" s="7" t="inlineStr">
        <s:is>
          <s:t>Intangible amortization period, years</s:t>
        </s:is>
      </s:c>
      <s:c r="B39" s="39" t="n">
        <s:v>15</s:v>
      </s:c>
      <s:c r="C39" s="29" t="n"/>
    </s:row>
    <s:row r="40">
      <s:c r="A40" s="8" t="inlineStr">
        <s:is>
          <s:t>Incremental annual amortization from step-up, $/yr</s:t>
        </s:is>
      </s:c>
      <s:c r="B40" s="21">
        <s:f>B35/B39</s:f>
        <s:v>26.666666666666668</s:v>
      </s:c>
      <s:c r="C40" s="29" t="n"/>
    </s:row>
  </s:sheetData>
  <s:pageMargins left="0.75" right="0.75" top="1" bottom="1" header="0.5" footer="0.5"/>
  <s:legacyDrawing r:id="anysvml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E34"/>
  <s:sheetViews>
    <s:sheetView workbookViewId="0">
      <s:pane xSplit="1" ySplit="3" topLeftCell="B4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6" customWidth="1" min="1" max="1"/>
    <s:col width="14" customWidth="1" min="2" max="2"/>
    <s:col width="14" customWidth="1" min="3" max="3"/>
    <s:col width="14" customWidth="1" min="4" max="4"/>
    <s:col width="60" customWidth="1" min="5" max="5"/>
  </s:cols>
  <s:sheetData>
    <s:row r="1">
      <s:c r="A1" s="1" t="inlineStr">
        <s:is>
          <s:t>Pro Forma Combined Income Statement &amp; Accretion / (Dilution) Analysis</s:t>
        </s:is>
      </s:c>
    </s:row>
    <s:row r="3">
      <s:c r="B3" s="14" t="inlineStr">
        <s:is>
          <s:t>FY2025A</s:t>
        </s:is>
      </s:c>
      <s:c r="C3" s="14" t="inlineStr">
        <s:is>
          <s:t>Year 1E</s:t>
        </s:is>
      </s:c>
      <s:c r="D3" s="14" t="inlineStr">
        <s:is>
          <s:t>Year 2E</s:t>
        </s:is>
      </s:c>
      <s:c r="E3" s="14" t="inlineStr">
        <s:is>
          <s:t>Year 3E</s:t>
        </s:is>
      </s:c>
    </s:row>
    <s:row r="5">
      <s:c r="A5" s="27" t="inlineStr">
        <s:is>
          <s:t>COMBINED OPERATING RESULTS (pre-synergy)</s:t>
        </s:is>
      </s:c>
      <s:c r="B5" s="27" t="n"/>
      <s:c r="C5" s="27" t="n"/>
      <s:c r="D5" s="27" t="n"/>
      <s:c r="E5" s="27" t="n"/>
    </s:row>
    <s:row r="6">
      <s:c r="A6" s="7" t="inlineStr">
        <s:is>
          <s:t>VFC standalone revenue</s:t>
        </s:is>
      </s:c>
      <s:c r="C6" s="40">
        <s:f>'Standalone Financials'!C6</s:f>
        <s:v>9690.0</s:v>
      </s:c>
      <s:c r="D6" s="40">
        <s:f>'Standalone Financials'!D6</s:f>
        <s:v>9980.7</s:v>
      </s:c>
      <s:c r="E6" s="40">
        <s:f>'Standalone Financials'!E6</s:f>
        <s:v>10280.121000000001</s:v>
      </s:c>
    </s:row>
    <s:row r="7">
      <s:c r="A7" s="7" t="inlineStr">
        <s:is>
          <s:t>UAA standalone revenue</s:t>
        </s:is>
      </s:c>
      <s:c r="C7" s="40">
        <s:f>'Standalone Financials'!I6</s:f>
        <s:v>5015.66</s:v>
      </s:c>
      <s:c r="D7" s="40">
        <s:f>'Standalone Financials'!J6</s:f>
        <s:v>5166.1298</s:v>
      </s:c>
      <s:c r="E7" s="40">
        <s:f>'Standalone Financials'!K6</s:f>
        <s:v>5372.774992</s:v>
      </s:c>
    </s:row>
    <s:row r="8">
      <s:c r="A8" s="8" t="inlineStr">
        <s:is>
          <s:t>Combined revenue</s:t>
        </s:is>
      </s:c>
      <s:c r="C8" s="21">
        <s:f>C6+C7</s:f>
        <s:v>14705.66</s:v>
      </s:c>
      <s:c r="D8" s="21">
        <s:f>D6+D7</s:f>
        <s:v>15146.8298</s:v>
      </s:c>
      <s:c r="E8" s="21">
        <s:f>E6+E7</s:f>
        <s:v>15652.895992000002</s:v>
      </s:c>
    </s:row>
    <s:row r="9">
      <s:c r="A9" s="7" t="inlineStr">
        <s:is>
          <s:t>VFC standalone Adjusted EBIT</s:t>
        </s:is>
      </s:c>
      <s:c r="C9" s="40">
        <s:f>'Standalone Financials'!C11</s:f>
        <s:v>684.828</s:v>
      </s:c>
      <s:c r="D9" s="40">
        <s:f>'Standalone Financials'!D11</s:f>
        <s:v>745.2956399999999</s:v>
      </s:c>
      <s:c r="E9" s="40">
        <s:f>'Standalone Financials'!E11</s:f>
        <s:v>819.0551141999999</s:v>
      </s:c>
    </s:row>
    <s:row r="10">
      <s:c r="A10" s="7" t="inlineStr">
        <s:is>
          <s:t>UAA standalone Adjusted EBIT</s:t>
        </s:is>
      </s:c>
      <s:c r="C10" s="40">
        <s:f>'Standalone Financials'!I11</s:f>
        <s:v>102.5</s:v>
      </s:c>
      <s:c r="D10" s="40">
        <s:f>'Standalone Financials'!J11</s:f>
        <s:v>130.0</s:v>
      </s:c>
      <s:c r="E10" s="40">
        <s:f>'Standalone Financials'!K11</s:f>
        <s:v>160.0</s:v>
      </s:c>
    </s:row>
    <s:row r="11">
      <s:c r="A11" s="8" t="inlineStr">
        <s:is>
          <s:t>Combined Adjusted EBIT (pre-synergy)</s:t>
        </s:is>
      </s:c>
      <s:c r="C11" s="21">
        <s:f>C9+C10</s:f>
        <s:v>787.328</s:v>
      </s:c>
      <s:c r="D11" s="21">
        <s:f>D9+D10</s:f>
        <s:v>875.2956399999999</s:v>
      </s:c>
      <s:c r="E11" s="21">
        <s:f>E9+E10</s:f>
        <s:v>979.0551141999999</s:v>
      </s:c>
    </s:row>
    <s:row r="13">
      <s:c r="A13" s="27" t="inlineStr">
        <s:is>
          <s:t>SYNERGIES &amp; PURCHASE-ACCOUNTING ADJUSTMENTS</s:t>
        </s:is>
      </s:c>
      <s:c r="B13" s="27" t="n"/>
      <s:c r="C13" s="27" t="n"/>
      <s:c r="D13" s="27" t="n"/>
      <s:c r="E13" s="27" t="n"/>
    </s:row>
    <s:row r="14">
      <s:c r="A14" s="7" t="inlineStr">
        <s:is>
          <s:t>Run-rate pretax cost synergies</s:t>
        </s:is>
      </s:c>
      <s:c r="B14" s="22" t="n">
        <s:v>75</s:v>
      </s:c>
      <s:c r="E14" t="inlineStr">
        <s:is>
          <s:t>ESTIMATE — illustrative sourcing/logistics/corporate-overhead synergies, typical for a scale combination in branded apparel (~0.5%-0.8% of combined revenue).</s:t>
        </s:is>
      </s:c>
    </s:row>
    <s:row r="15">
      <s:c r="A15" s="7" t="inlineStr">
        <s:is>
          <s:t>Phase-in %</s:t>
        </s:is>
      </s:c>
      <s:c r="C15" s="18" t="n">
        <s:v>0.5</s:v>
      </s:c>
      <s:c r="D15" s="18" t="n">
        <s:v>1</s:v>
      </s:c>
      <s:c r="E15" s="18" t="n">
        <s:v>1</s:v>
      </s:c>
    </s:row>
    <s:row r="16">
      <s:c r="A16" s="7" t="inlineStr">
        <s:is>
          <s:t>Realized synergies</s:t>
        </s:is>
      </s:c>
      <s:c r="C16" s="16">
        <s:f>$B$14*C15</s:f>
        <s:v>37.5</s:v>
      </s:c>
      <s:c r="D16" s="16">
        <s:f>$B$14*D15</s:f>
        <s:v>75.0</s:v>
      </s:c>
      <s:c r="E16" s="16">
        <s:f>$B$14*E15</s:f>
        <s:v>75.0</s:v>
      </s:c>
    </s:row>
    <s:row r="17">
      <s:c r="A17" s="7" t="inlineStr">
        <s:is>
          <s:t>Less: incremental intangible amortization (from PPA step-up)</s:t>
        </s:is>
      </s:c>
      <s:c r="C17" s="40">
        <s:f>-'Transaction &amp; PPA'!$B$40</s:f>
        <s:v>-26.666666666666668</s:v>
      </s:c>
      <s:c r="D17" s="40">
        <s:f>-'Transaction &amp; PPA'!$B$40</s:f>
        <s:v>-26.666666666666668</s:v>
      </s:c>
      <s:c r="E17" s="40">
        <s:f>-'Transaction &amp; PPA'!$B$40</s:f>
        <s:v>-26.666666666666668</s:v>
      </s:c>
    </s:row>
    <s:row r="18">
      <s:c r="A18" s="8" t="inlineStr">
        <s:is>
          <s:t>Combined Adjusted EBIT (post-synergy)</s:t>
        </s:is>
      </s:c>
      <s:c r="C18" s="21">
        <s:f>C11+C16+C17</s:f>
        <s:v>798.1613333333333</s:v>
      </s:c>
      <s:c r="D18" s="21">
        <s:f>D11+D16+D17</s:f>
        <s:v>923.6289733333333</s:v>
      </s:c>
      <s:c r="E18" s="21">
        <s:f>E11+E16+E17</s:f>
        <s:v>1027.3884475333332</s:v>
      </s:c>
    </s:row>
    <s:row r="20">
      <s:c r="A20" s="27" t="inlineStr">
        <s:is>
          <s:t>FINANCING IMPACT</s:t>
        </s:is>
      </s:c>
      <s:c r="B20" s="27" t="n"/>
      <s:c r="C20" s="27" t="n"/>
      <s:c r="D20" s="27" t="n"/>
      <s:c r="E20" s="27" t="n"/>
    </s:row>
    <s:row r="21">
      <s:c r="A21" s="7" t="inlineStr">
        <s:is>
          <s:t>Less: new acquisition debt interest expense</s:t>
        </s:is>
      </s:c>
      <s:c r="C21" s="40">
        <s:f>-'Transaction &amp; PPA'!$B$30</s:f>
        <s:v>-113.19052387499998</s:v>
      </s:c>
      <s:c r="D21" s="40">
        <s:f>-'Transaction &amp; PPA'!$B$30</s:f>
        <s:v>-113.19052387499998</s:v>
      </s:c>
      <s:c r="E21" s="40">
        <s:f>-'Transaction &amp; PPA'!$B$30</s:f>
        <s:v>-113.19052387499998</s:v>
      </s:c>
    </s:row>
    <s:row r="22">
      <s:c r="A22" s="7" t="inlineStr">
        <s:is>
          <s:t>Less: VFC standalone interest expense (unchanged)</s:t>
        </s:is>
      </s:c>
      <s:c r="C22" s="40">
        <s:f>'Standalone Financials'!C12</s:f>
        <s:v>-287.14</s:v>
      </s:c>
      <s:c r="D22" s="40">
        <s:f>'Standalone Financials'!D12</s:f>
        <s:v>-281.3972</s:v>
      </s:c>
      <s:c r="E22" s="40">
        <s:f>'Standalone Financials'!E12</s:f>
        <s:v>-275.769256</s:v>
      </s:c>
    </s:row>
    <s:row r="23">
      <s:c r="A23" s="7" t="inlineStr">
        <s:is>
          <s:t>Pro forma pretax income</s:t>
        </s:is>
      </s:c>
      <s:c r="C23" s="16">
        <s:f>C18+C21+C22</s:f>
        <s:v>397.8308094583334</s:v>
      </s:c>
      <s:c r="D23" s="16">
        <s:f>D18+D21+D22</s:f>
        <s:v>529.0412494583334</s:v>
      </s:c>
      <s:c r="E23" s="16">
        <s:f>E18+E21+E22</s:f>
        <s:v>638.4286676583333</s:v>
      </s:c>
    </s:row>
    <s:row r="24">
      <s:c r="A24" s="7" t="inlineStr">
        <s:is>
          <s:t>Normalized tax rate</s:t>
        </s:is>
      </s:c>
      <s:c r="C24" s="18" t="n">
        <s:v>0.25</s:v>
      </s:c>
      <s:c r="D24" s="18" t="n">
        <s:v>0.25</s:v>
      </s:c>
      <s:c r="E24" s="18" t="n">
        <s:v>0.25</s:v>
      </s:c>
    </s:row>
    <s:row r="25">
      <s:c r="A25" s="8" t="inlineStr">
        <s:is>
          <s:t>Pro forma net income</s:t>
        </s:is>
      </s:c>
      <s:c r="C25" s="35">
        <s:f>C23*(1-C24)</s:f>
        <s:v>298.37310709375004</s:v>
      </s:c>
      <s:c r="D25" s="35">
        <s:f>D23*(1-D24)</s:f>
        <s:v>396.78093709375</s:v>
      </s:c>
      <s:c r="E25" s="35">
        <s:f>E23*(1-E24)</s:f>
        <s:v>478.82150074375</s:v>
      </s:c>
    </s:row>
    <s:row r="27">
      <s:c r="A27" s="27" t="inlineStr">
        <s:is>
          <s:t>ACCRETION / (DILUTION) ANALYSIS</s:t>
        </s:is>
      </s:c>
      <s:c r="B27" s="27" t="n"/>
      <s:c r="C27" s="27" t="n"/>
      <s:c r="D27" s="27" t="n"/>
      <s:c r="E27" s="27" t="n"/>
    </s:row>
    <s:row r="28">
      <s:c r="A28" s="7" t="inlineStr">
        <s:is>
          <s:t>Pro forma diluted shares outstanding, mm</s:t>
        </s:is>
      </s:c>
      <s:c r="C28" s="31">
        <s:f>'Transaction &amp; PPA'!$B$29</s:f>
        <s:v>491.00905811623244</s:v>
      </s:c>
      <s:c r="D28" s="31">
        <s:f>'Transaction &amp; PPA'!$B$29</s:f>
        <s:v>491.00905811623244</s:v>
      </s:c>
      <s:c r="E28" s="31">
        <s:f>'Transaction &amp; PPA'!$B$29</s:f>
        <s:v>491.00905811623244</s:v>
      </s:c>
    </s:row>
    <s:row r="29">
      <s:c r="A29" s="8" t="inlineStr">
        <s:is>
          <s:t>Pro forma diluted EPS</s:t>
        </s:is>
      </s:c>
      <s:c r="C29" s="30">
        <s:f>C25/C28</s:f>
        <s:v>0.6076733252915238</s:v>
      </s:c>
      <s:c r="D29" s="30">
        <s:f>D25/D28</s:f>
        <s:v>0.8080929069129789</s:v>
      </s:c>
      <s:c r="E29" s="30">
        <s:f>E25/E28</s:f>
        <s:v>0.9751785488046997</s:v>
      </s:c>
    </s:row>
    <s:row r="30">
      <s:c r="A30" s="7" t="inlineStr">
        <s:is>
          <s:t>VFC standalone diluted EPS (as if deal did not happen)</s:t>
        </s:is>
      </s:c>
      <s:c r="C30" s="41">
        <s:f>'Standalone Financials'!C15</s:f>
        <s:v>0.7586955968763512</s:v>
      </s:c>
      <s:c r="D30" s="41">
        <s:f>'Standalone Financials'!D15</s:f>
        <s:v>0.88500961514003</s:v>
      </s:c>
      <s:c r="E30" s="41">
        <s:f>'Standalone Financials'!E15</s:f>
        <s:v>1.0364622228016176</s:v>
      </s:c>
    </s:row>
    <s:row r="31">
      <s:c r="A31" s="7" t="inlineStr">
        <s:is>
          <s:t>Accretion / (dilution), $</s:t>
        </s:is>
      </s:c>
      <s:c r="C31" s="42">
        <s:f>C29-C30</s:f>
        <s:v>-0.1510222715848274</s:v>
      </s:c>
      <s:c r="D31" s="42">
        <s:f>D29-D30</s:f>
        <s:v>-0.0769167082270511</s:v>
      </s:c>
      <s:c r="E31" s="42">
        <s:f>E29-E30</s:f>
        <s:v>-0.06128367399691792</s:v>
      </s:c>
    </s:row>
    <s:row r="32">
      <s:c r="A32" s="8" t="inlineStr">
        <s:is>
          <s:t>Accretion / (dilution), %</s:t>
        </s:is>
      </s:c>
      <s:c r="C32" s="43">
        <s:f>C31/C30</s:f>
        <s:v>-0.1990551575712391</s:v>
      </s:c>
      <s:c r="D32" s="43">
        <s:f>D31/D30</s:f>
        <s:v>-0.08691059047407187</s:v>
      </s:c>
      <s:c r="E32" s="43">
        <s:f>E31/E30</s:f>
        <s:v>-0.059127744985499414</s:v>
      </s:c>
    </s:row>
    <s:row r="34" ht="40" customHeight="1">
      <s:c r="A34" s="44" t="inlineStr">
        <s:is>
          <s:t>Reading the result: a POSITIVE %/​$ figure means the deal is ACCRETIVE to VFC shareholders (pro forma EPS exceeds VFC's standalone EPS); a NEGATIVE figure means DILUTIVE. Because the deal is financed with new debt AND newly issued VFC stock (see Transaction &amp; PPA), the share-count dilution from the stock component is the primary drag against accretion from synergies and UAA's earnings contribution.</s:t>
        </s:is>
      </s:c>
    </s:row>
  </s:sheetData>
  <s:mergeCells count="1">
    <s:mergeCell ref="A34:E34"/>
  </s:mergeCells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F24"/>
  <s:sheetViews>
    <s:sheetView workbookViewId="0">
      <s:pane xSplit="1" ySplit="5" topLeftCell="B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4" customWidth="1" min="2" max="2"/>
    <s:col width="14" customWidth="1" min="3" max="3"/>
    <s:col width="14" customWidth="1" min="4" max="4"/>
    <s:col width="14" customWidth="1" min="5" max="5"/>
    <s:col width="14" customWidth="1" min="6" max="6"/>
    <s:col width="55" customWidth="1" min="7" max="7"/>
  </s:cols>
  <s:sheetData>
    <s:row r="1">
      <s:c r="A1" s="1" t="inlineStr">
        <s:is>
          <s:t>Accretion / (Dilution) Sensitivity — Year 1</s:t>
        </s:is>
      </s:c>
    </s:row>
    <s:row r="2">
      <s:c r="A2" s="2" t="inlineStr">
        <s:is>
          <s:t>Both tables recompute the Year 1 (first full post-close year) pro forma EPS in closed form for each scenario.</s:t>
        </s:is>
      </s:c>
    </s:row>
    <s:row r="4">
      <s:c r="A4" s="27" t="inlineStr">
        <s:is>
          <s:t>SENSITIVITY 1 — Cash/Stock Consideration Mix (rows) vs. Synergy Realization (columns)</s:t>
        </s:is>
      </s:c>
      <s:c r="B4" s="27" t="n"/>
      <s:c r="C4" s="27" t="n"/>
      <s:c r="D4" s="27" t="n"/>
      <s:c r="E4" s="27" t="n"/>
      <s:c r="F4" s="27" t="n"/>
    </s:row>
    <s:row r="6">
      <s:c r="A6" s="8" t="inlineStr">
        <s:is>
          <s:t>% Cash \ Synergy realized</s:t>
        </s:is>
      </s:c>
      <s:c r="B6" s="45" t="n">
        <s:v>0</s:v>
      </s:c>
      <s:c r="C6" s="45" t="n">
        <s:v>0.5</s:v>
      </s:c>
      <s:c r="D6" s="45" t="n">
        <s:v>1</s:v>
      </s:c>
      <s:c r="E6" s="45" t="n">
        <s:v>1.5</s:v>
      </s:c>
      <s:c r="F6" s="45" t="n">
        <s:v>2</s:v>
      </s:c>
    </s:row>
    <s:row r="7">
      <s:c r="A7" s="45" t="n">
        <s:v>0</s:v>
      </s:c>
      <s:c r="B7" s="46">
        <s:f>((((('Pro Forma &amp; Accretion-Dilution'!$C$11+('Pro Forma &amp; Accretion-Dilution'!$B$14*'Pro Forma &amp; Accretion-Dilution'!$C$15*B$6)+'Pro Forma &amp; Accretion-Dilution'!$C$17)-(('Transaction &amp; PPA'!$B$8*($A7+'Transaction &amp; PPA'!$B$11))*'Transaction &amp; PPA'!$B$12)+'Pro Forma &amp; Accretion-Dilution'!$C$22)*(1-'Pro Forma &amp; Accretion-Dilution'!$C$24))/('Transaction &amp; PPA'!$B$28+(('Transaction &amp; PPA'!$B$8*(1-$A7))/'Transaction &amp; PPA'!$B$13)))/'Pro Forma &amp; Accretion-Dilution'!$C$30)-1</s:f>
        <s:v>-0.2106562346512817</s:v>
      </s:c>
      <s:c r="C7" s="46">
        <s:f>((((('Pro Forma &amp; Accretion-Dilution'!$C$11+('Pro Forma &amp; Accretion-Dilution'!$B$14*'Pro Forma &amp; Accretion-Dilution'!$C$15*C$6)+'Pro Forma &amp; Accretion-Dilution'!$C$17)-(('Transaction &amp; PPA'!$B$8*($A7+'Transaction &amp; PPA'!$B$11))*'Transaction &amp; PPA'!$B$12)+'Pro Forma &amp; Accretion-Dilution'!$C$22)*(1-'Pro Forma &amp; Accretion-Dilution'!$C$24))/('Transaction &amp; PPA'!$B$28+(('Transaction &amp; PPA'!$B$8*(1-$A7))/'Transaction &amp; PPA'!$B$13)))/'Pro Forma &amp; Accretion-Dilution'!$C$30)-1</s:f>
        <s:v>-0.1791814924607842</s:v>
      </s:c>
      <s:c r="D7" s="46">
        <s:f>((((('Pro Forma &amp; Accretion-Dilution'!$C$11+('Pro Forma &amp; Accretion-Dilution'!$B$14*'Pro Forma &amp; Accretion-Dilution'!$C$15*D$6)+'Pro Forma &amp; Accretion-Dilution'!$C$17)-(('Transaction &amp; PPA'!$B$8*($A7+'Transaction &amp; PPA'!$B$11))*'Transaction &amp; PPA'!$B$12)+'Pro Forma &amp; Accretion-Dilution'!$C$22)*(1-'Pro Forma &amp; Accretion-Dilution'!$C$24))/('Transaction &amp; PPA'!$B$28+(('Transaction &amp; PPA'!$B$8*(1-$A7))/'Transaction &amp; PPA'!$B$13)))/'Pro Forma &amp; Accretion-Dilution'!$C$30)-1</s:f>
        <s:v>-0.1477067502702868</s:v>
      </s:c>
      <s:c r="E7" s="46">
        <s:f>((((('Pro Forma &amp; Accretion-Dilution'!$C$11+('Pro Forma &amp; Accretion-Dilution'!$B$14*'Pro Forma &amp; Accretion-Dilution'!$C$15*E$6)+'Pro Forma &amp; Accretion-Dilution'!$C$17)-(('Transaction &amp; PPA'!$B$8*($A7+'Transaction &amp; PPA'!$B$11))*'Transaction &amp; PPA'!$B$12)+'Pro Forma &amp; Accretion-Dilution'!$C$22)*(1-'Pro Forma &amp; Accretion-Dilution'!$C$24))/('Transaction &amp; PPA'!$B$28+(('Transaction &amp; PPA'!$B$8*(1-$A7))/'Transaction &amp; PPA'!$B$13)))/'Pro Forma &amp; Accretion-Dilution'!$C$30)-1</s:f>
        <s:v>-0.11623200807978928</s:v>
      </s:c>
      <s:c r="F7" s="46">
        <s:f>((((('Pro Forma &amp; Accretion-Dilution'!$C$11+('Pro Forma &amp; Accretion-Dilution'!$B$14*'Pro Forma &amp; Accretion-Dilution'!$C$15*F$6)+'Pro Forma &amp; Accretion-Dilution'!$C$17)-(('Transaction &amp; PPA'!$B$8*($A7+'Transaction &amp; PPA'!$B$11))*'Transaction &amp; PPA'!$B$12)+'Pro Forma &amp; Accretion-Dilution'!$C$22)*(1-'Pro Forma &amp; Accretion-Dilution'!$C$24))/('Transaction &amp; PPA'!$B$28+(('Transaction &amp; PPA'!$B$8*(1-$A7))/'Transaction &amp; PPA'!$B$13)))/'Pro Forma &amp; Accretion-Dilution'!$C$30)-1</s:f>
        <s:v>-0.08475726588929189</s:v>
      </s:c>
    </s:row>
    <s:row r="8">
      <s:c r="A8" s="45" t="n">
        <s:v>0.25</s:v>
      </s:c>
      <s:c r="B8" s="46">
        <s:f>((((('Pro Forma &amp; Accretion-Dilution'!$C$11+('Pro Forma &amp; Accretion-Dilution'!$B$14*'Pro Forma &amp; Accretion-Dilution'!$C$15*B$6)+'Pro Forma &amp; Accretion-Dilution'!$C$17)-(('Transaction &amp; PPA'!$B$8*($A8+'Transaction &amp; PPA'!$B$11))*'Transaction &amp; PPA'!$B$12)+'Pro Forma &amp; Accretion-Dilution'!$C$22)*(1-'Pro Forma &amp; Accretion-Dilution'!$C$24))/('Transaction &amp; PPA'!$B$28+(('Transaction &amp; PPA'!$B$8*(1-$A8))/'Transaction &amp; PPA'!$B$13)))/'Pro Forma &amp; Accretion-Dilution'!$C$30)-1</s:f>
        <s:v>-0.23970897234702182</s:v>
      </s:c>
      <s:c r="C8" s="46">
        <s:f>((((('Pro Forma &amp; Accretion-Dilution'!$C$11+('Pro Forma &amp; Accretion-Dilution'!$B$14*'Pro Forma &amp; Accretion-Dilution'!$C$15*C$6)+'Pro Forma &amp; Accretion-Dilution'!$C$17)-(('Transaction &amp; PPA'!$B$8*($A8+'Transaction &amp; PPA'!$B$11))*'Transaction &amp; PPA'!$B$12)+'Pro Forma &amp; Accretion-Dilution'!$C$22)*(1-'Pro Forma &amp; Accretion-Dilution'!$C$24))/('Transaction &amp; PPA'!$B$28+(('Transaction &amp; PPA'!$B$8*(1-$A8))/'Transaction &amp; PPA'!$B$13)))/'Pro Forma &amp; Accretion-Dilution'!$C$30)-1</s:f>
        <s:v>-0.2053814417677453</s:v>
      </s:c>
      <s:c r="D8" s="46">
        <s:f>((((('Pro Forma &amp; Accretion-Dilution'!$C$11+('Pro Forma &amp; Accretion-Dilution'!$B$14*'Pro Forma &amp; Accretion-Dilution'!$C$15*D$6)+'Pro Forma &amp; Accretion-Dilution'!$C$17)-(('Transaction &amp; PPA'!$B$8*($A8+'Transaction &amp; PPA'!$B$11))*'Transaction &amp; PPA'!$B$12)+'Pro Forma &amp; Accretion-Dilution'!$C$22)*(1-'Pro Forma &amp; Accretion-Dilution'!$C$24))/('Transaction &amp; PPA'!$B$28+(('Transaction &amp; PPA'!$B$8*(1-$A8))/'Transaction &amp; PPA'!$B$13)))/'Pro Forma &amp; Accretion-Dilution'!$C$30)-1</s:f>
        <s:v>-0.17105391118846902</s:v>
      </s:c>
      <s:c r="E8" s="46">
        <s:f>((((('Pro Forma &amp; Accretion-Dilution'!$C$11+('Pro Forma &amp; Accretion-Dilution'!$B$14*'Pro Forma &amp; Accretion-Dilution'!$C$15*E$6)+'Pro Forma &amp; Accretion-Dilution'!$C$17)-(('Transaction &amp; PPA'!$B$8*($A8+'Transaction &amp; PPA'!$B$11))*'Transaction &amp; PPA'!$B$12)+'Pro Forma &amp; Accretion-Dilution'!$C$22)*(1-'Pro Forma &amp; Accretion-Dilution'!$C$24))/('Transaction &amp; PPA'!$B$28+(('Transaction &amp; PPA'!$B$8*(1-$A8))/'Transaction &amp; PPA'!$B$13)))/'Pro Forma &amp; Accretion-Dilution'!$C$30)-1</s:f>
        <s:v>-0.1367263806091925</s:v>
      </s:c>
      <s:c r="F8" s="46">
        <s:f>((((('Pro Forma &amp; Accretion-Dilution'!$C$11+('Pro Forma &amp; Accretion-Dilution'!$B$14*'Pro Forma &amp; Accretion-Dilution'!$C$15*F$6)+'Pro Forma &amp; Accretion-Dilution'!$C$17)-(('Transaction &amp; PPA'!$B$8*($A8+'Transaction &amp; PPA'!$B$11))*'Transaction &amp; PPA'!$B$12)+'Pro Forma &amp; Accretion-Dilution'!$C$22)*(1-'Pro Forma &amp; Accretion-Dilution'!$C$24))/('Transaction &amp; PPA'!$B$28+(('Transaction &amp; PPA'!$B$8*(1-$A8))/'Transaction &amp; PPA'!$B$13)))/'Pro Forma &amp; Accretion-Dilution'!$C$30)-1</s:f>
        <s:v>-0.10239885002991622</s:v>
      </s:c>
    </s:row>
    <s:row r="9">
      <s:c r="A9" s="45" t="n">
        <s:v>0.5</s:v>
      </s:c>
      <s:c r="B9" s="46">
        <s:f>((((('Pro Forma &amp; Accretion-Dilution'!$C$11+('Pro Forma &amp; Accretion-Dilution'!$B$14*'Pro Forma &amp; Accretion-Dilution'!$C$15*B$6)+'Pro Forma &amp; Accretion-Dilution'!$C$17)-(('Transaction &amp; PPA'!$B$8*($A9+'Transaction &amp; PPA'!$B$11))*'Transaction &amp; PPA'!$B$12)+'Pro Forma &amp; Accretion-Dilution'!$C$22)*(1-'Pro Forma &amp; Accretion-Dilution'!$C$24))/('Transaction &amp; PPA'!$B$28+(('Transaction &amp; PPA'!$B$8*(1-$A9))/'Transaction &amp; PPA'!$B$13)))/'Pro Forma &amp; Accretion-Dilution'!$C$30)-1</s:f>
        <s:v>-0.27455316043324296</s:v>
      </s:c>
      <s:c r="C9" s="46">
        <s:f>((((('Pro Forma &amp; Accretion-Dilution'!$C$11+('Pro Forma &amp; Accretion-Dilution'!$B$14*'Pro Forma &amp; Accretion-Dilution'!$C$15*C$6)+'Pro Forma &amp; Accretion-Dilution'!$C$17)-(('Transaction &amp; PPA'!$B$8*($A9+'Transaction &amp; PPA'!$B$11))*'Transaction &amp; PPA'!$B$12)+'Pro Forma &amp; Accretion-Dilution'!$C$22)*(1-'Pro Forma &amp; Accretion-Dilution'!$C$24))/('Transaction &amp; PPA'!$B$28+(('Transaction &amp; PPA'!$B$8*(1-$A9))/'Transaction &amp; PPA'!$B$13)))/'Pro Forma &amp; Accretion-Dilution'!$C$30)-1</s:f>
        <s:v>-0.23680415900224105</s:v>
      </s:c>
      <s:c r="D9" s="43">
        <s:f>((((('Pro Forma &amp; Accretion-Dilution'!$C$11+('Pro Forma &amp; Accretion-Dilution'!$B$14*'Pro Forma &amp; Accretion-Dilution'!$C$15*D$6)+'Pro Forma &amp; Accretion-Dilution'!$C$17)-(('Transaction &amp; PPA'!$B$8*($A9+'Transaction &amp; PPA'!$B$11))*'Transaction &amp; PPA'!$B$12)+'Pro Forma &amp; Accretion-Dilution'!$C$22)*(1-'Pro Forma &amp; Accretion-Dilution'!$C$24))/('Transaction &amp; PPA'!$B$28+(('Transaction &amp; PPA'!$B$8*(1-$A9))/'Transaction &amp; PPA'!$B$13)))/'Pro Forma &amp; Accretion-Dilution'!$C$30)-1</s:f>
        <s:v>-0.19905515757123915</s:v>
      </s:c>
      <s:c r="E9" s="46">
        <s:f>((((('Pro Forma &amp; Accretion-Dilution'!$C$11+('Pro Forma &amp; Accretion-Dilution'!$B$14*'Pro Forma &amp; Accretion-Dilution'!$C$15*E$6)+'Pro Forma &amp; Accretion-Dilution'!$C$17)-(('Transaction &amp; PPA'!$B$8*($A9+'Transaction &amp; PPA'!$B$11))*'Transaction &amp; PPA'!$B$12)+'Pro Forma &amp; Accretion-Dilution'!$C$22)*(1-'Pro Forma &amp; Accretion-Dilution'!$C$24))/('Transaction &amp; PPA'!$B$28+(('Transaction &amp; PPA'!$B$8*(1-$A9))/'Transaction &amp; PPA'!$B$13)))/'Pro Forma &amp; Accretion-Dilution'!$C$30)-1</s:f>
        <s:v>-0.16130615614023736</s:v>
      </s:c>
      <s:c r="F9" s="46">
        <s:f>((((('Pro Forma &amp; Accretion-Dilution'!$C$11+('Pro Forma &amp; Accretion-Dilution'!$B$14*'Pro Forma &amp; Accretion-Dilution'!$C$15*F$6)+'Pro Forma &amp; Accretion-Dilution'!$C$17)-(('Transaction &amp; PPA'!$B$8*($A9+'Transaction &amp; PPA'!$B$11))*'Transaction &amp; PPA'!$B$12)+'Pro Forma &amp; Accretion-Dilution'!$C$22)*(1-'Pro Forma &amp; Accretion-Dilution'!$C$24))/('Transaction &amp; PPA'!$B$28+(('Transaction &amp; PPA'!$B$8*(1-$A9))/'Transaction &amp; PPA'!$B$13)))/'Pro Forma &amp; Accretion-Dilution'!$C$30)-1</s:f>
        <s:v>-0.12355715470923545</s:v>
      </s:c>
    </s:row>
    <s:row r="10">
      <s:c r="A10" s="45" t="n">
        <s:v>0.75</s:v>
      </s:c>
      <s:c r="B10" s="46">
        <s:f>((((('Pro Forma &amp; Accretion-Dilution'!$C$11+('Pro Forma &amp; Accretion-Dilution'!$B$14*'Pro Forma &amp; Accretion-Dilution'!$C$15*B$6)+'Pro Forma &amp; Accretion-Dilution'!$C$17)-(('Transaction &amp; PPA'!$B$8*($A10+'Transaction &amp; PPA'!$B$11))*'Transaction &amp; PPA'!$B$12)+'Pro Forma &amp; Accretion-Dilution'!$C$22)*(1-'Pro Forma &amp; Accretion-Dilution'!$C$24))/('Transaction &amp; PPA'!$B$28+(('Transaction &amp; PPA'!$B$8*(1-$A10))/'Transaction &amp; PPA'!$B$13)))/'Pro Forma &amp; Accretion-Dilution'!$C$30)-1</s:f>
        <s:v>-0.3171122351753497</s:v>
      </s:c>
      <s:c r="C10" s="46">
        <s:f>((((('Pro Forma &amp; Accretion-Dilution'!$C$11+('Pro Forma &amp; Accretion-Dilution'!$B$14*'Pro Forma &amp; Accretion-Dilution'!$C$15*C$6)+'Pro Forma &amp; Accretion-Dilution'!$C$17)-(('Transaction &amp; PPA'!$B$8*($A10+'Transaction &amp; PPA'!$B$11))*'Transaction &amp; PPA'!$B$12)+'Pro Forma &amp; Accretion-Dilution'!$C$22)*(1-'Pro Forma &amp; Accretion-Dilution'!$C$24))/('Transaction &amp; PPA'!$B$28+(('Transaction &amp; PPA'!$B$8*(1-$A10))/'Transaction &amp; PPA'!$B$13)))/'Pro Forma &amp; Accretion-Dilution'!$C$30)-1</s:f>
        <s:v>-0.2751842115973486</s:v>
      </s:c>
      <s:c r="D10" s="46">
        <s:f>((((('Pro Forma &amp; Accretion-Dilution'!$C$11+('Pro Forma &amp; Accretion-Dilution'!$B$14*'Pro Forma &amp; Accretion-Dilution'!$C$15*D$6)+'Pro Forma &amp; Accretion-Dilution'!$C$17)-(('Transaction &amp; PPA'!$B$8*($A10+'Transaction &amp; PPA'!$B$11))*'Transaction &amp; PPA'!$B$12)+'Pro Forma &amp; Accretion-Dilution'!$C$22)*(1-'Pro Forma &amp; Accretion-Dilution'!$C$24))/('Transaction &amp; PPA'!$B$28+(('Transaction &amp; PPA'!$B$8*(1-$A10))/'Transaction &amp; PPA'!$B$13)))/'Pro Forma &amp; Accretion-Dilution'!$C$30)-1</s:f>
        <s:v>-0.23325618801934744</s:v>
      </s:c>
      <s:c r="E10" s="46">
        <s:f>((((('Pro Forma &amp; Accretion-Dilution'!$C$11+('Pro Forma &amp; Accretion-Dilution'!$B$14*'Pro Forma &amp; Accretion-Dilution'!$C$15*E$6)+'Pro Forma &amp; Accretion-Dilution'!$C$17)-(('Transaction &amp; PPA'!$B$8*($A10+'Transaction &amp; PPA'!$B$11))*'Transaction &amp; PPA'!$B$12)+'Pro Forma &amp; Accretion-Dilution'!$C$22)*(1-'Pro Forma &amp; Accretion-Dilution'!$C$24))/('Transaction &amp; PPA'!$B$28+(('Transaction &amp; PPA'!$B$8*(1-$A10))/'Transaction &amp; PPA'!$B$13)))/'Pro Forma &amp; Accretion-Dilution'!$C$30)-1</s:f>
        <s:v>-0.19132816444134637</s:v>
      </s:c>
      <s:c r="F10" s="46">
        <s:f>((((('Pro Forma &amp; Accretion-Dilution'!$C$11+('Pro Forma &amp; Accretion-Dilution'!$B$14*'Pro Forma &amp; Accretion-Dilution'!$C$15*F$6)+'Pro Forma &amp; Accretion-Dilution'!$C$17)-(('Transaction &amp; PPA'!$B$8*($A10+'Transaction &amp; PPA'!$B$11))*'Transaction &amp; PPA'!$B$12)+'Pro Forma &amp; Accretion-Dilution'!$C$22)*(1-'Pro Forma &amp; Accretion-Dilution'!$C$24))/('Transaction &amp; PPA'!$B$28+(('Transaction &amp; PPA'!$B$8*(1-$A10))/'Transaction &amp; PPA'!$B$13)))/'Pro Forma &amp; Accretion-Dilution'!$C$30)-1</s:f>
        <s:v>-0.1494001408633452</s:v>
      </s:c>
    </s:row>
    <s:row r="11">
      <s:c r="A11" s="45" t="n">
        <s:v>1</s:v>
      </s:c>
      <s:c r="B11" s="46">
        <s:f>((((('Pro Forma &amp; Accretion-Dilution'!$C$11+('Pro Forma &amp; Accretion-Dilution'!$B$14*'Pro Forma &amp; Accretion-Dilution'!$C$15*B$6)+'Pro Forma &amp; Accretion-Dilution'!$C$17)-(('Transaction &amp; PPA'!$B$8*($A11+'Transaction &amp; PPA'!$B$11))*'Transaction &amp; PPA'!$B$12)+'Pro Forma &amp; Accretion-Dilution'!$C$22)*(1-'Pro Forma &amp; Accretion-Dilution'!$C$24))/('Transaction &amp; PPA'!$B$28+(('Transaction &amp; PPA'!$B$8*(1-$A11))/'Transaction &amp; PPA'!$B$13)))/'Pro Forma &amp; Accretion-Dilution'!$C$30)-1</s:f>
        <s:v>-0.37026740319463136</s:v>
      </s:c>
      <s:c r="C11" s="46">
        <s:f>((((('Pro Forma &amp; Accretion-Dilution'!$C$11+('Pro Forma &amp; Accretion-Dilution'!$B$14*'Pro Forma &amp; Accretion-Dilution'!$C$15*C$6)+'Pro Forma &amp; Accretion-Dilution'!$C$17)-(('Transaction &amp; PPA'!$B$8*($A11+'Transaction &amp; PPA'!$B$11))*'Transaction &amp; PPA'!$B$12)+'Pro Forma &amp; Accretion-Dilution'!$C$22)*(1-'Pro Forma &amp; Accretion-Dilution'!$C$24))/('Transaction &amp; PPA'!$B$28+(('Transaction &amp; PPA'!$B$8*(1-$A11))/'Transaction &amp; PPA'!$B$13)))/'Pro Forma &amp; Accretion-Dilution'!$C$30)-1</s:f>
        <s:v>-0.32311989057167056</s:v>
      </s:c>
      <s:c r="D11" s="46">
        <s:f>((((('Pro Forma &amp; Accretion-Dilution'!$C$11+('Pro Forma &amp; Accretion-Dilution'!$B$14*'Pro Forma &amp; Accretion-Dilution'!$C$15*D$6)+'Pro Forma &amp; Accretion-Dilution'!$C$17)-(('Transaction &amp; PPA'!$B$8*($A11+'Transaction &amp; PPA'!$B$11))*'Transaction &amp; PPA'!$B$12)+'Pro Forma &amp; Accretion-Dilution'!$C$22)*(1-'Pro Forma &amp; Accretion-Dilution'!$C$24))/('Transaction &amp; PPA'!$B$28+(('Transaction &amp; PPA'!$B$8*(1-$A11))/'Transaction &amp; PPA'!$B$13)))/'Pro Forma &amp; Accretion-Dilution'!$C$30)-1</s:f>
        <s:v>-0.2759723779487099</s:v>
      </s:c>
      <s:c r="E11" s="46">
        <s:f>((((('Pro Forma &amp; Accretion-Dilution'!$C$11+('Pro Forma &amp; Accretion-Dilution'!$B$14*'Pro Forma &amp; Accretion-Dilution'!$C$15*E$6)+'Pro Forma &amp; Accretion-Dilution'!$C$17)-(('Transaction &amp; PPA'!$B$8*($A11+'Transaction &amp; PPA'!$B$11))*'Transaction &amp; PPA'!$B$12)+'Pro Forma &amp; Accretion-Dilution'!$C$22)*(1-'Pro Forma &amp; Accretion-Dilution'!$C$24))/('Transaction &amp; PPA'!$B$28+(('Transaction &amp; PPA'!$B$8*(1-$A11))/'Transaction &amp; PPA'!$B$13)))/'Pro Forma &amp; Accretion-Dilution'!$C$30)-1</s:f>
        <s:v>-0.22882486532574908</s:v>
      </s:c>
      <s:c r="F11" s="46">
        <s:f>((((('Pro Forma &amp; Accretion-Dilution'!$C$11+('Pro Forma &amp; Accretion-Dilution'!$B$14*'Pro Forma &amp; Accretion-Dilution'!$C$15*F$6)+'Pro Forma &amp; Accretion-Dilution'!$C$17)-(('Transaction &amp; PPA'!$B$8*($A11+'Transaction &amp; PPA'!$B$11))*'Transaction &amp; PPA'!$B$12)+'Pro Forma &amp; Accretion-Dilution'!$C$22)*(1-'Pro Forma &amp; Accretion-Dilution'!$C$24))/('Transaction &amp; PPA'!$B$28+(('Transaction &amp; PPA'!$B$8*(1-$A11))/'Transaction &amp; PPA'!$B$13)))/'Pro Forma &amp; Accretion-Dilution'!$C$30)-1</s:f>
        <s:v>-0.1816773527027884</s:v>
      </s:c>
    </s:row>
    <s:row r="13" ht="40" customHeight="1">
      <s:c r="A13" s="44" t="inlineStr">
        <s:is>
          <s:t>Base case (50% cash / 50% stock, 100% synergy realization) is highlighted. Reading the grid: more cash funding (higher row) reduces share dilution and pushes results toward accretion, but requires more new debt, which increases interest expense — the two effects trade off against each other.</s:t>
        </s:is>
      </s:c>
    </s:row>
    <s:row r="15">
      <s:c r="A15" s="27" t="inlineStr">
        <s:is>
          <s:t>SENSITIVITY 2 — Offer Premium (rows) vs. % Cash Consideration (columns)</s:t>
        </s:is>
      </s:c>
      <s:c r="B15" s="27" t="n"/>
      <s:c r="C15" s="27" t="n"/>
      <s:c r="D15" s="27" t="n"/>
      <s:c r="E15" s="27" t="n"/>
      <s:c r="F15" s="27" t="n"/>
    </s:row>
    <s:row r="17">
      <s:c r="A17" s="8" t="inlineStr">
        <s:is>
          <s:t>Premium \ % Cash</s:t>
        </s:is>
      </s:c>
      <s:c r="B17" s="45" t="n">
        <s:v>0</s:v>
      </s:c>
      <s:c r="C17" s="45" t="n">
        <s:v>0.25</s:v>
      </s:c>
      <s:c r="D17" s="45" t="n">
        <s:v>0.5</s:v>
      </s:c>
      <s:c r="E17" s="45" t="n">
        <s:v>0.75</s:v>
      </s:c>
      <s:c r="F17" s="45" t="n">
        <s:v>1</s:v>
      </s:c>
    </s:row>
    <s:row r="18">
      <s:c r="A18" s="45" t="n">
        <s:v>0.2</s:v>
      </s:c>
      <s:c r="B18" s="46">
        <s:f>((((('Pro Forma &amp; Accretion-Dilution'!$C$11+('Pro Forma &amp; Accretion-Dilution'!$B$14*'Pro Forma &amp; Accretion-Dilution'!$C$15)+'Pro Forma &amp; Accretion-Dilution'!$C$17)-((('Transaction &amp; PPA'!$B$4*(1+$A18)*'Transaction &amp; PPA'!$B$7)*(B$17+'Transaction &amp; PPA'!$B$11))*'Transaction &amp; PPA'!$B$12)+'Pro Forma &amp; Accretion-Dilution'!$C$22)*(1-'Pro Forma &amp; Accretion-Dilution'!$C$24))/('Transaction &amp; PPA'!$B$28+((('Transaction &amp; PPA'!$B$4*(1+$A18)*'Transaction &amp; PPA'!$B$7)*(1-B$17))/'Transaction &amp; PPA'!$B$13)))/'Pro Forma &amp; Accretion-Dilution'!$C$30)-1</s:f>
        <s:v>-0.1143810218915936</s:v>
      </s:c>
      <s:c r="C18" s="46">
        <s:f>((((('Pro Forma &amp; Accretion-Dilution'!$C$11+('Pro Forma &amp; Accretion-Dilution'!$B$14*'Pro Forma &amp; Accretion-Dilution'!$C$15)+'Pro Forma &amp; Accretion-Dilution'!$C$17)-((('Transaction &amp; PPA'!$B$4*(1+$A18)*'Transaction &amp; PPA'!$B$7)*(C$17+'Transaction &amp; PPA'!$B$11))*'Transaction &amp; PPA'!$B$12)+'Pro Forma &amp; Accretion-Dilution'!$C$22)*(1-'Pro Forma &amp; Accretion-Dilution'!$C$24))/('Transaction &amp; PPA'!$B$28+((('Transaction &amp; PPA'!$B$4*(1+$A18)*'Transaction &amp; PPA'!$B$7)*(1-C$17))/'Transaction &amp; PPA'!$B$13)))/'Pro Forma &amp; Accretion-Dilution'!$C$30)-1</s:f>
        <s:v>-0.1330120021043526</s:v>
      </s:c>
      <s:c r="D18" s="46">
        <s:f>((((('Pro Forma &amp; Accretion-Dilution'!$C$11+('Pro Forma &amp; Accretion-Dilution'!$B$14*'Pro Forma &amp; Accretion-Dilution'!$C$15)+'Pro Forma &amp; Accretion-Dilution'!$C$17)-((('Transaction &amp; PPA'!$B$4*(1+$A18)*'Transaction &amp; PPA'!$B$7)*(D$17+'Transaction &amp; PPA'!$B$11))*'Transaction &amp; PPA'!$B$12)+'Pro Forma &amp; Accretion-Dilution'!$C$22)*(1-'Pro Forma &amp; Accretion-Dilution'!$C$24))/('Transaction &amp; PPA'!$B$28+((('Transaction &amp; PPA'!$B$4*(1+$A18)*'Transaction &amp; PPA'!$B$7)*(1-D$17))/'Transaction &amp; PPA'!$B$13)))/'Pro Forma &amp; Accretion-Dilution'!$C$30)-1</s:f>
        <s:v>-0.1550190477707566</s:v>
      </s:c>
      <s:c r="E18" s="46">
        <s:f>((((('Pro Forma &amp; Accretion-Dilution'!$C$11+('Pro Forma &amp; Accretion-Dilution'!$B$14*'Pro Forma &amp; Accretion-Dilution'!$C$15)+'Pro Forma &amp; Accretion-Dilution'!$C$17)-((('Transaction &amp; PPA'!$B$4*(1+$A18)*'Transaction &amp; PPA'!$B$7)*(E$17+'Transaction &amp; PPA'!$B$11))*'Transaction &amp; PPA'!$B$12)+'Pro Forma &amp; Accretion-Dilution'!$C$22)*(1-'Pro Forma &amp; Accretion-Dilution'!$C$24))/('Transaction &amp; PPA'!$B$28+((('Transaction &amp; PPA'!$B$4*(1+$A18)*'Transaction &amp; PPA'!$B$7)*(1-E$17))/'Transaction &amp; PPA'!$B$13)))/'Pro Forma &amp; Accretion-Dilution'!$C$30)-1</s:f>
        <s:v>-0.18141123520029312</s:v>
      </s:c>
      <s:c r="F18" s="46">
        <s:f>((((('Pro Forma &amp; Accretion-Dilution'!$C$11+('Pro Forma &amp; Accretion-Dilution'!$B$14*'Pro Forma &amp; Accretion-Dilution'!$C$15)+'Pro Forma &amp; Accretion-Dilution'!$C$17)-((('Transaction &amp; PPA'!$B$4*(1+$A18)*'Transaction &amp; PPA'!$B$7)*(F$17+'Transaction &amp; PPA'!$B$11))*'Transaction &amp; PPA'!$B$12)+'Pro Forma &amp; Accretion-Dilution'!$C$22)*(1-'Pro Forma &amp; Accretion-Dilution'!$C$24))/('Transaction &amp; PPA'!$B$28+((('Transaction &amp; PPA'!$B$4*(1+$A18)*'Transaction &amp; PPA'!$B$7)*(1-F$17))/'Transaction &amp; PPA'!$B$13)))/'Pro Forma &amp; Accretion-Dilution'!$C$30)-1</s:f>
        <s:v>-0.21364427809404984</s:v>
      </s:c>
    </s:row>
    <s:row r="19">
      <s:c r="A19" s="45" t="n">
        <s:v>0.275</s:v>
      </s:c>
      <s:c r="B19" s="46">
        <s:f>((((('Pro Forma &amp; Accretion-Dilution'!$C$11+('Pro Forma &amp; Accretion-Dilution'!$B$14*'Pro Forma &amp; Accretion-Dilution'!$C$15)+'Pro Forma &amp; Accretion-Dilution'!$C$17)-((('Transaction &amp; PPA'!$B$4*(1+$A19)*'Transaction &amp; PPA'!$B$7)*(B$17+'Transaction &amp; PPA'!$B$11))*'Transaction &amp; PPA'!$B$12)+'Pro Forma &amp; Accretion-Dilution'!$C$22)*(1-'Pro Forma &amp; Accretion-Dilution'!$C$24))/('Transaction &amp; PPA'!$B$28+((('Transaction &amp; PPA'!$B$4*(1+$A19)*'Transaction &amp; PPA'!$B$7)*(1-B$17))/'Transaction &amp; PPA'!$B$13)))/'Pro Forma &amp; Accretion-Dilution'!$C$30)-1</s:f>
        <s:v>-0.1313574019816186</s:v>
      </s:c>
      <s:c r="C19" s="46">
        <s:f>((((('Pro Forma &amp; Accretion-Dilution'!$C$11+('Pro Forma &amp; Accretion-Dilution'!$B$14*'Pro Forma &amp; Accretion-Dilution'!$C$15)+'Pro Forma &amp; Accretion-Dilution'!$C$17)-((('Transaction &amp; PPA'!$B$4*(1+$A19)*'Transaction &amp; PPA'!$B$7)*(C$17+'Transaction &amp; PPA'!$B$11))*'Transaction &amp; PPA'!$B$12)+'Pro Forma &amp; Accretion-Dilution'!$C$22)*(1-'Pro Forma &amp; Accretion-Dilution'!$C$24))/('Transaction &amp; PPA'!$B$28+((('Transaction &amp; PPA'!$B$4*(1+$A19)*'Transaction &amp; PPA'!$B$7)*(1-C$17))/'Transaction &amp; PPA'!$B$13)))/'Pro Forma &amp; Accretion-Dilution'!$C$30)-1</s:f>
        <s:v>-0.15232469870573684</s:v>
      </s:c>
      <s:c r="D19" s="46">
        <s:f>((((('Pro Forma &amp; Accretion-Dilution'!$C$11+('Pro Forma &amp; Accretion-Dilution'!$B$14*'Pro Forma &amp; Accretion-Dilution'!$C$15)+'Pro Forma &amp; Accretion-Dilution'!$C$17)-((('Transaction &amp; PPA'!$B$4*(1+$A19)*'Transaction &amp; PPA'!$B$7)*(D$17+'Transaction &amp; PPA'!$B$11))*'Transaction &amp; PPA'!$B$12)+'Pro Forma &amp; Accretion-Dilution'!$C$22)*(1-'Pro Forma &amp; Accretion-Dilution'!$C$24))/('Transaction &amp; PPA'!$B$28+((('Transaction &amp; PPA'!$B$4*(1+$A19)*'Transaction &amp; PPA'!$B$7)*(1-D$17))/'Transaction &amp; PPA'!$B$13)))/'Pro Forma &amp; Accretion-Dilution'!$C$30)-1</s:f>
        <s:v>-0.17728367434740488</s:v>
      </s:c>
      <s:c r="E19" s="46">
        <s:f>((((('Pro Forma &amp; Accretion-Dilution'!$C$11+('Pro Forma &amp; Accretion-Dilution'!$B$14*'Pro Forma &amp; Accretion-Dilution'!$C$15)+'Pro Forma &amp; Accretion-Dilution'!$C$17)-((('Transaction &amp; PPA'!$B$4*(1+$A19)*'Transaction &amp; PPA'!$B$7)*(E$17+'Transaction &amp; PPA'!$B$11))*'Transaction &amp; PPA'!$B$12)+'Pro Forma &amp; Accretion-Dilution'!$C$22)*(1-'Pro Forma &amp; Accretion-Dilution'!$C$24))/('Transaction &amp; PPA'!$B$28+((('Transaction &amp; PPA'!$B$4*(1+$A19)*'Transaction &amp; PPA'!$B$7)*(1-E$17))/'Transaction &amp; PPA'!$B$13)))/'Pro Forma &amp; Accretion-Dilution'!$C$30)-1</s:f>
        <s:v>-0.2074941293814594</s:v>
      </s:c>
      <s:c r="F19" s="46">
        <s:f>((((('Pro Forma &amp; Accretion-Dilution'!$C$11+('Pro Forma &amp; Accretion-Dilution'!$B$14*'Pro Forma &amp; Accretion-Dilution'!$C$15)+'Pro Forma &amp; Accretion-Dilution'!$C$17)-((('Transaction &amp; PPA'!$B$4*(1+$A19)*'Transaction &amp; PPA'!$B$7)*(F$17+'Transaction &amp; PPA'!$B$11))*'Transaction &amp; PPA'!$B$12)+'Pro Forma &amp; Accretion-Dilution'!$C$22)*(1-'Pro Forma &amp; Accretion-Dilution'!$C$24))/('Transaction &amp; PPA'!$B$28+((('Transaction &amp; PPA'!$B$4*(1+$A19)*'Transaction &amp; PPA'!$B$7)*(1-F$17))/'Transaction &amp; PPA'!$B$13)))/'Pro Forma &amp; Accretion-Dilution'!$C$30)-1</s:f>
        <s:v>-0.24480832802137997</s:v>
      </s:c>
    </s:row>
    <s:row r="20">
      <s:c r="A20" s="45" t="n">
        <s:v>0.35</s:v>
      </s:c>
      <s:c r="B20" s="46">
        <s:f>((((('Pro Forma &amp; Accretion-Dilution'!$C$11+('Pro Forma &amp; Accretion-Dilution'!$B$14*'Pro Forma &amp; Accretion-Dilution'!$C$15)+'Pro Forma &amp; Accretion-Dilution'!$C$17)-((('Transaction &amp; PPA'!$B$4*(1+$A20)*'Transaction &amp; PPA'!$B$7)*(B$17+'Transaction &amp; PPA'!$B$11))*'Transaction &amp; PPA'!$B$12)+'Pro Forma &amp; Accretion-Dilution'!$C$22)*(1-'Pro Forma &amp; Accretion-Dilution'!$C$24))/('Transaction &amp; PPA'!$B$28+((('Transaction &amp; PPA'!$B$4*(1+$A20)*'Transaction &amp; PPA'!$B$7)*(1-B$17))/'Transaction &amp; PPA'!$B$13)))/'Pro Forma &amp; Accretion-Dilution'!$C$30)-1</s:f>
        <s:v>-0.1477067502702868</s:v>
      </s:c>
      <s:c r="C20" s="46">
        <s:f>((((('Pro Forma &amp; Accretion-Dilution'!$C$11+('Pro Forma &amp; Accretion-Dilution'!$B$14*'Pro Forma &amp; Accretion-Dilution'!$C$15)+'Pro Forma &amp; Accretion-Dilution'!$C$17)-((('Transaction &amp; PPA'!$B$4*(1+$A20)*'Transaction &amp; PPA'!$B$7)*(C$17+'Transaction &amp; PPA'!$B$11))*'Transaction &amp; PPA'!$B$12)+'Pro Forma &amp; Accretion-Dilution'!$C$22)*(1-'Pro Forma &amp; Accretion-Dilution'!$C$24))/('Transaction &amp; PPA'!$B$28+((('Transaction &amp; PPA'!$B$4*(1+$A20)*'Transaction &amp; PPA'!$B$7)*(1-C$17))/'Transaction &amp; PPA'!$B$13)))/'Pro Forma &amp; Accretion-Dilution'!$C$30)-1</s:f>
        <s:v>-0.17105391118846902</s:v>
      </s:c>
      <s:c r="D20" s="43">
        <s:f>((((('Pro Forma &amp; Accretion-Dilution'!$C$11+('Pro Forma &amp; Accretion-Dilution'!$B$14*'Pro Forma &amp; Accretion-Dilution'!$C$15)+'Pro Forma &amp; Accretion-Dilution'!$C$17)-((('Transaction &amp; PPA'!$B$4*(1+$A20)*'Transaction &amp; PPA'!$B$7)*(D$17+'Transaction &amp; PPA'!$B$11))*'Transaction &amp; PPA'!$B$12)+'Pro Forma &amp; Accretion-Dilution'!$C$22)*(1-'Pro Forma &amp; Accretion-Dilution'!$C$24))/('Transaction &amp; PPA'!$B$28+((('Transaction &amp; PPA'!$B$4*(1+$A20)*'Transaction &amp; PPA'!$B$7)*(1-D$17))/'Transaction &amp; PPA'!$B$13)))/'Pro Forma &amp; Accretion-Dilution'!$C$30)-1</s:f>
        <s:v>-0.19905515757123915</s:v>
      </s:c>
      <s:c r="E20" s="46">
        <s:f>((((('Pro Forma &amp; Accretion-Dilution'!$C$11+('Pro Forma &amp; Accretion-Dilution'!$B$14*'Pro Forma &amp; Accretion-Dilution'!$C$15)+'Pro Forma &amp; Accretion-Dilution'!$C$17)-((('Transaction &amp; PPA'!$B$4*(1+$A20)*'Transaction &amp; PPA'!$B$7)*(E$17+'Transaction &amp; PPA'!$B$11))*'Transaction &amp; PPA'!$B$12)+'Pro Forma &amp; Accretion-Dilution'!$C$22)*(1-'Pro Forma &amp; Accretion-Dilution'!$C$24))/('Transaction &amp; PPA'!$B$28+((('Transaction &amp; PPA'!$B$4*(1+$A20)*'Transaction &amp; PPA'!$B$7)*(1-E$17))/'Transaction &amp; PPA'!$B$13)))/'Pro Forma &amp; Accretion-Dilution'!$C$30)-1</s:f>
        <s:v>-0.23325618801934744</s:v>
      </s:c>
      <s:c r="F20" s="46">
        <s:f>((((('Pro Forma &amp; Accretion-Dilution'!$C$11+('Pro Forma &amp; Accretion-Dilution'!$B$14*'Pro Forma &amp; Accretion-Dilution'!$C$15)+'Pro Forma &amp; Accretion-Dilution'!$C$17)-((('Transaction &amp; PPA'!$B$4*(1+$A20)*'Transaction &amp; PPA'!$B$7)*(F$17+'Transaction &amp; PPA'!$B$11))*'Transaction &amp; PPA'!$B$12)+'Pro Forma &amp; Accretion-Dilution'!$C$22)*(1-'Pro Forma &amp; Accretion-Dilution'!$C$24))/('Transaction &amp; PPA'!$B$28+((('Transaction &amp; PPA'!$B$4*(1+$A20)*'Transaction &amp; PPA'!$B$7)*(1-F$17))/'Transaction &amp; PPA'!$B$13)))/'Pro Forma &amp; Accretion-Dilution'!$C$30)-1</s:f>
        <s:v>-0.2759723779487099</s:v>
      </s:c>
    </s:row>
    <s:row r="21">
      <s:c r="A21" s="45" t="n">
        <s:v>0.425</s:v>
      </s:c>
      <s:c r="B21" s="46">
        <s:f>((((('Pro Forma &amp; Accretion-Dilution'!$C$11+('Pro Forma &amp; Accretion-Dilution'!$B$14*'Pro Forma &amp; Accretion-Dilution'!$C$15)+'Pro Forma &amp; Accretion-Dilution'!$C$17)-((('Transaction &amp; PPA'!$B$4*(1+$A21)*'Transaction &amp; PPA'!$B$7)*(B$17+'Transaction &amp; PPA'!$B$11))*'Transaction &amp; PPA'!$B$12)+'Pro Forma &amp; Accretion-Dilution'!$C$22)*(1-'Pro Forma &amp; Accretion-Dilution'!$C$24))/('Transaction &amp; PPA'!$B$28+((('Transaction &amp; PPA'!$B$4*(1+$A21)*'Transaction &amp; PPA'!$B$7)*(1-B$17))/'Transaction &amp; PPA'!$B$13)))/'Pro Forma &amp; Accretion-Dilution'!$C$30)-1</s:f>
        <s:v>-0.16346317646653963</s:v>
      </s:c>
      <s:c r="C21" s="46">
        <s:f>((((('Pro Forma &amp; Accretion-Dilution'!$C$11+('Pro Forma &amp; Accretion-Dilution'!$B$14*'Pro Forma &amp; Accretion-Dilution'!$C$15)+'Pro Forma &amp; Accretion-Dilution'!$C$17)-((('Transaction &amp; PPA'!$B$4*(1+$A21)*'Transaction &amp; PPA'!$B$7)*(C$17+'Transaction &amp; PPA'!$B$11))*'Transaction &amp; PPA'!$B$12)+'Pro Forma &amp; Accretion-Dilution'!$C$22)*(1-'Pro Forma &amp; Accretion-Dilution'!$C$24))/('Transaction &amp; PPA'!$B$28+((('Transaction &amp; PPA'!$B$4*(1+$A21)*'Transaction &amp; PPA'!$B$7)*(1-C$17))/'Transaction &amp; PPA'!$B$13)))/'Pro Forma &amp; Accretion-Dilution'!$C$30)-1</s:f>
        <s:v>-0.18922568878476254</s:v>
      </s:c>
      <s:c r="D21" s="46">
        <s:f>((((('Pro Forma &amp; Accretion-Dilution'!$C$11+('Pro Forma &amp; Accretion-Dilution'!$B$14*'Pro Forma &amp; Accretion-Dilution'!$C$15)+'Pro Forma &amp; Accretion-Dilution'!$C$17)-((('Transaction &amp; PPA'!$B$4*(1+$A21)*'Transaction &amp; PPA'!$B$7)*(D$17+'Transaction &amp; PPA'!$B$11))*'Transaction &amp; PPA'!$B$12)+'Pro Forma &amp; Accretion-Dilution'!$C$22)*(1-'Pro Forma &amp; Accretion-Dilution'!$C$24))/('Transaction &amp; PPA'!$B$28+((('Transaction &amp; PPA'!$B$4*(1+$A21)*'Transaction &amp; PPA'!$B$7)*(1-D$17))/'Transaction &amp; PPA'!$B$13)))/'Pro Forma &amp; Accretion-Dilution'!$C$30)-1</s:f>
        <s:v>-0.2203497020683104</s:v>
      </s:c>
      <s:c r="E21" s="46">
        <s:f>((((('Pro Forma &amp; Accretion-Dilution'!$C$11+('Pro Forma &amp; Accretion-Dilution'!$B$14*'Pro Forma &amp; Accretion-Dilution'!$C$15)+'Pro Forma &amp; Accretion-Dilution'!$C$17)-((('Transaction &amp; PPA'!$B$4*(1+$A21)*'Transaction &amp; PPA'!$B$7)*(E$17+'Transaction &amp; PPA'!$B$11))*'Transaction &amp; PPA'!$B$12)+'Pro Forma &amp; Accretion-Dilution'!$C$22)*(1-'Pro Forma &amp; Accretion-Dilution'!$C$24))/('Transaction &amp; PPA'!$B$28+((('Transaction &amp; PPA'!$B$4*(1+$A21)*'Transaction &amp; PPA'!$B$7)*(1-E$17))/'Transaction &amp; PPA'!$B$13)))/'Pro Forma &amp; Accretion-Dilution'!$C$30)-1</s:f>
        <s:v>-0.258703294638454</s:v>
      </s:c>
      <s:c r="F21" s="46">
        <s:f>((((('Pro Forma &amp; Accretion-Dilution'!$C$11+('Pro Forma &amp; Accretion-Dilution'!$B$14*'Pro Forma &amp; Accretion-Dilution'!$C$15)+'Pro Forma &amp; Accretion-Dilution'!$C$17)-((('Transaction &amp; PPA'!$B$4*(1+$A21)*'Transaction &amp; PPA'!$B$7)*(F$17+'Transaction &amp; PPA'!$B$11))*'Transaction &amp; PPA'!$B$12)+'Pro Forma &amp; Accretion-Dilution'!$C$22)*(1-'Pro Forma &amp; Accretion-Dilution'!$C$24))/('Transaction &amp; PPA'!$B$28+((('Transaction &amp; PPA'!$B$4*(1+$A21)*'Transaction &amp; PPA'!$B$7)*(1-F$17))/'Transaction &amp; PPA'!$B$13)))/'Pro Forma &amp; Accretion-Dilution'!$C$30)-1</s:f>
        <s:v>-0.3071364278760398</s:v>
      </s:c>
    </s:row>
    <s:row r="22">
      <s:c r="A22" s="45" t="n">
        <s:v>0.5</s:v>
      </s:c>
      <s:c r="B22" s="46">
        <s:f>((((('Pro Forma &amp; Accretion-Dilution'!$C$11+('Pro Forma &amp; Accretion-Dilution'!$B$14*'Pro Forma &amp; Accretion-Dilution'!$C$15)+'Pro Forma &amp; Accretion-Dilution'!$C$17)-((('Transaction &amp; PPA'!$B$4*(1+$A22)*'Transaction &amp; PPA'!$B$7)*(B$17+'Transaction &amp; PPA'!$B$11))*'Transaction &amp; PPA'!$B$12)+'Pro Forma &amp; Accretion-Dilution'!$C$22)*(1-'Pro Forma &amp; Accretion-Dilution'!$C$24))/('Transaction &amp; PPA'!$B$28+((('Transaction &amp; PPA'!$B$4*(1+$A22)*'Transaction &amp; PPA'!$B$7)*(1-B$17))/'Transaction &amp; PPA'!$B$13)))/'Pro Forma &amp; Accretion-Dilution'!$C$30)-1</s:f>
        <s:v>-0.17865836031035875</s:v>
      </s:c>
      <s:c r="C22" s="46">
        <s:f>((((('Pro Forma &amp; Accretion-Dilution'!$C$11+('Pro Forma &amp; Accretion-Dilution'!$B$14*'Pro Forma &amp; Accretion-Dilution'!$C$15)+'Pro Forma &amp; Accretion-Dilution'!$C$17)-((('Transaction &amp; PPA'!$B$4*(1+$A22)*'Transaction &amp; PPA'!$B$7)*(C$17+'Transaction &amp; PPA'!$B$11))*'Transaction &amp; PPA'!$B$12)+'Pro Forma &amp; Accretion-Dilution'!$C$22)*(1-'Pro Forma &amp; Accretion-Dilution'!$C$24))/('Transaction &amp; PPA'!$B$28+((('Transaction &amp; PPA'!$B$4*(1+$A22)*'Transaction &amp; PPA'!$B$7)*(1-C$17))/'Transaction &amp; PPA'!$B$13)))/'Pro Forma &amp; Accretion-Dilution'!$C$30)-1</s:f>
        <s:v>-0.20686455286442185</s:v>
      </s:c>
      <s:c r="D22" s="46">
        <s:f>((((('Pro Forma &amp; Accretion-Dilution'!$C$11+('Pro Forma &amp; Accretion-Dilution'!$B$14*'Pro Forma &amp; Accretion-Dilution'!$C$15)+'Pro Forma &amp; Accretion-Dilution'!$C$17)-((('Transaction &amp; PPA'!$B$4*(1+$A22)*'Transaction &amp; PPA'!$B$7)*(D$17+'Transaction &amp; PPA'!$B$11))*'Transaction &amp; PPA'!$B$12)+'Pro Forma &amp; Accretion-Dilution'!$C$22)*(1-'Pro Forma &amp; Accretion-Dilution'!$C$24))/('Transaction &amp; PPA'!$B$28+((('Transaction &amp; PPA'!$B$4*(1+$A22)*'Transaction &amp; PPA'!$B$7)*(1-D$17))/'Transaction &amp; PPA'!$B$13)))/'Pro Forma &amp; Accretion-Dilution'!$C$30)-1</s:f>
        <s:v>-0.24118281018112786</s:v>
      </s:c>
      <s:c r="E22" s="46">
        <s:f>((((('Pro Forma &amp; Accretion-Dilution'!$C$11+('Pro Forma &amp; Accretion-Dilution'!$B$14*'Pro Forma &amp; Accretion-Dilution'!$C$15)+'Pro Forma &amp; Accretion-Dilution'!$C$17)-((('Transaction &amp; PPA'!$B$4*(1+$A22)*'Transaction &amp; PPA'!$B$7)*(E$17+'Transaction &amp; PPA'!$B$11))*'Transaction &amp; PPA'!$B$12)+'Pro Forma &amp; Accretion-Dilution'!$C$22)*(1-'Pro Forma &amp; Accretion-Dilution'!$C$24))/('Transaction &amp; PPA'!$B$28+((('Transaction &amp; PPA'!$B$4*(1+$A22)*'Transaction &amp; PPA'!$B$7)*(1-E$17))/'Transaction &amp; PPA'!$B$13)))/'Pro Forma &amp; Accretion-Dilution'!$C$30)-1</s:f>
        <s:v>-0.2838411897801594</s:v>
      </s:c>
      <s:c r="F22" s="46">
        <s:f>((((('Pro Forma &amp; Accretion-Dilution'!$C$11+('Pro Forma &amp; Accretion-Dilution'!$B$14*'Pro Forma &amp; Accretion-Dilution'!$C$15)+'Pro Forma &amp; Accretion-Dilution'!$C$17)-((('Transaction &amp; PPA'!$B$4*(1+$A22)*'Transaction &amp; PPA'!$B$7)*(F$17+'Transaction &amp; PPA'!$B$11))*'Transaction &amp; PPA'!$B$12)+'Pro Forma &amp; Accretion-Dilution'!$C$22)*(1-'Pro Forma &amp; Accretion-Dilution'!$C$24))/('Transaction &amp; PPA'!$B$28+((('Transaction &amp; PPA'!$B$4*(1+$A22)*'Transaction &amp; PPA'!$B$7)*(1-F$17))/'Transaction &amp; PPA'!$B$13)))/'Pro Forma &amp; Accretion-Dilution'!$C$30)-1</s:f>
        <s:v>-0.33830047780337</s:v>
      </s:c>
    </s:row>
    <s:row r="24" ht="48" customHeight="1">
      <s:c r="A24" s="44" t="inlineStr">
        <s:is>
          <s:t>Simplification: this table holds the deal's goodwill/PPA-driven incremental amortization and combined pre-synergy EBIT constant across premium scenarios (a higher premium only changes purchase price / financing mix here, not the operating plan). Goodwill itself would technically grow with a higher premium; see Transaction &amp; PPA tab to flex the premium assumption directly for a fully-updated goodwill figure.</s:t>
        </s:is>
      </s:c>
    </s:row>
  </s:sheetData>
  <s:mergeCells count="2">
    <s:mergeCell ref="A13:F13"/>
    <s:mergeCell ref="A24:F24"/>
  </s:mergeCells>
  <s:pageMargins left="0.75" right="0.75" top="1" bottom="1" header="0.5" footer="0.5"/>
</s: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82" customWidth="1" min="3" max="3"/>
  </cols>
  <sheetData>
    <row r="1">
      <c r="A1" s="1" t="inlineStr">
        <is>
          <t>Sources &amp; Assumptions — Full Disclosure</t>
        </is>
      </c>
    </row>
    <row r="3" ht="90" customHeight="1">
      <c r="A3" s="26" t="inlineStr">
        <is>
          <t>This is a HYPOTHETICAL strategic combination — neither VF Corporation nor Under Armour has proposed or announced this transaction. Both companies' real FY2025A financials anchor the model; the deal terms, financing mix, purchase price allocation and projections are illustrative analyst assumptions. Direct access to SEC EDGAR / stockanalysis.com / press-release wires was blocked by this session's network egress policy, so every 'SOURCED' figure below was obtained via search-engine synthesis of the underlying filings/releases rather than a direct read of the primary document.</t>
        </is>
      </c>
    </row>
    <row r="5">
      <c r="A5" s="47" t="inlineStr">
        <is>
          <t>#</t>
        </is>
      </c>
      <c r="B5" s="47" t="inlineStr">
        <is>
          <t>Item</t>
        </is>
      </c>
      <c r="C5" s="47" t="inlineStr">
        <is>
          <t>Detail / Citation</t>
        </is>
      </c>
    </row>
    <row r="6" ht="52" customHeight="1">
      <c r="A6" s="48" t="inlineStr">
        <is>
          <t>SOURCED</t>
        </is>
      </c>
      <c r="B6" s="8" t="inlineStr">
        <is>
          <t>VFC FY2025A revenue &amp; balance sheet</t>
        </is>
      </c>
      <c r="C6" s="26" t="inlineStr">
        <is>
          <t>Revenue $9.50bn (FY ended 3/29/2025, down 4.1% YoY); total assets $9,377.5mm; total liabilities $7,890.2mm; total equity $1,487.4mm; cash $429.4mm; LT debt $3,966.2mm + current portion $540.6mm — VFC FY2025 Form 10-K.</t>
        </is>
      </c>
    </row>
    <row r="7" ht="52" customHeight="1">
      <c r="A7" s="48" t="inlineStr">
        <is>
          <t>SOURCED</t>
        </is>
      </c>
      <c r="B7" s="8" t="inlineStr">
        <is>
          <t>VFC income from continuing operations</t>
        </is>
      </c>
      <c r="C7" s="26" t="inlineStr">
        <is>
          <t>$69.3mm ($0.18/diluted share) — VFC FY2025 10-K. Effective tax rate 52.2% (anomalous — see below).</t>
        </is>
      </c>
    </row>
    <row r="8" ht="52" customHeight="1">
      <c r="A8" s="48" t="inlineStr">
        <is>
          <t>SOURCED</t>
        </is>
      </c>
      <c r="B8" s="8" t="inlineStr">
        <is>
          <t>VFC D&amp;A, shares, market data</t>
        </is>
      </c>
      <c r="C8" s="26" t="inlineStr">
        <is>
          <t>D&amp;A $259.6mm (FY2025 10-K cash flow statement); ~393.13mm diluted shares; $14.97/share, ~$5.3-5.9bn market cap, Sept-2026 market data; EBITDA (TTM) ~$902.6mm.</t>
        </is>
      </c>
    </row>
    <row r="9" ht="52" customHeight="1">
      <c r="A9" s="48" t="inlineStr">
        <is>
          <t>SOURCED</t>
        </is>
      </c>
      <c r="B9" s="8" t="inlineStr">
        <is>
          <t>VFC FY2026 (real, most-recently reported) directional color</t>
        </is>
      </c>
      <c r="C9" s="26" t="inlineStr">
        <is>
          <t>VFC's actual FY2026 (fiscal year ended ~March 2026) results, per company press release: revenue growth resumed (+1%), gross margin expanded to 55%, operating margin reached ~7%, and leverage improved by roughly one full turn. This real, more-recent data point is used only to calibrate the DIRECTION and rough magnitude of the Year 1E-3E margin-improvement assumptions built from the FY2025A base — it was not used to restate the FY2025A base year itself (kept anchored to the fully-disclosed, balance-sheet-reconciled FY2025A figures above).</t>
        </is>
      </c>
    </row>
    <row r="10" ht="52" customHeight="1">
      <c r="A10" s="4" t="inlineStr">
        <is>
          <t>ESTIMATE</t>
        </is>
      </c>
      <c r="B10" s="8" t="inlineStr">
        <is>
          <t>VFC FY2025A interest expense ($293mm)</t>
        </is>
      </c>
      <c r="C10" s="26" t="inlineStr">
        <is>
          <t>Exact interest expense line not retrieved this session; derived as ~6.5% x total debt (~$4,507mm).</t>
        </is>
      </c>
    </row>
    <row r="11" ht="52" customHeight="1">
      <c r="A11" s="48" t="inlineStr">
        <is>
          <t>SOURCED</t>
        </is>
      </c>
      <c r="B11" s="8" t="inlineStr">
        <is>
          <t>UAA FY2025A revenue &amp; profitability</t>
        </is>
      </c>
      <c r="C11" s="26" t="inlineStr">
        <is>
          <t>Revenue $4.966bn (FY ended 3/31/2025, down from $5.31bn); operating loss $72mm (GAAP); net loss $201mm; adjusted net income $135mm; adjusted diluted EPS $0.31 — UAA FY2025 10-K / earnings release.</t>
        </is>
      </c>
    </row>
    <row r="12" ht="52" customHeight="1">
      <c r="A12" s="48" t="inlineStr">
        <is>
          <t>SOURCED</t>
        </is>
      </c>
      <c r="B12" s="8" t="inlineStr">
        <is>
          <t>UAA FY2025A balance sheet</t>
        </is>
      </c>
      <c r="C12" s="26" t="inlineStr">
        <is>
          <t>Total assets $4.30bn; total equity $1.890bn; cash $501mm; no borrowings outstanding under its $1.1bn revolving credit facility — UAA FY2025 10-K.</t>
        </is>
      </c>
    </row>
    <row r="13" ht="52" customHeight="1">
      <c r="A13" s="48" t="inlineStr">
        <is>
          <t>SOURCED</t>
        </is>
      </c>
      <c r="B13" s="8" t="inlineStr">
        <is>
          <t>UAA share count</t>
        </is>
      </c>
      <c r="C13" s="26" t="inlineStr">
        <is>
          <t>188.83mm Class A + 34.45mm Class B + 205.54mm Class C = ~429mm total shares — UAA proxy/10-K disclosure, mid-2025; $5.06/share, ~$2.18bn market cap, Sept-2026 market data.</t>
        </is>
      </c>
    </row>
    <row r="14" ht="52" customHeight="1">
      <c r="A14" s="48" t="inlineStr">
        <is>
          <t>SOURCED</t>
        </is>
      </c>
      <c r="B14" s="8" t="inlineStr">
        <is>
          <t>UAA FY2026E guidance (real, used to calibrate Year 1E)</t>
        </is>
      </c>
      <c r="C14" s="26" t="inlineStr">
        <is>
          <t>UAA 'raised FY2026 adjusted operating income outlook to $95-110mm' — a real, company-disclosed figure used directly as the Year 1E Adjusted EBIT anchor ($102.5mm midpoint) on the Standalone Financials tab, rather than an unmoored assumption.</t>
        </is>
      </c>
    </row>
    <row r="15" ht="52" customHeight="1">
      <c r="A15" s="49" t="inlineStr">
        <is>
          <t>ASSUMPTION</t>
        </is>
      </c>
      <c r="B15" s="8" t="inlineStr">
        <is>
          <t>35% offer premium -&gt; $6.83/share offer price</t>
        </is>
      </c>
      <c r="C15" s="26" t="inlineStr">
        <is>
          <t>Illustrative premium for a strategic (not distressed) acquisition of a turnaround target; in line with recent branded-apparel/consumer strategic deal premiums (25%-45%).</t>
        </is>
      </c>
    </row>
    <row r="16" ht="52" customHeight="1">
      <c r="A16" s="49" t="inlineStr">
        <is>
          <t>ASSUMPTION</t>
        </is>
      </c>
      <c r="B16" s="8" t="inlineStr">
        <is>
          <t>50% cash / 50% stock consideration mix</t>
        </is>
      </c>
      <c r="C16" s="26" t="inlineStr">
        <is>
          <t>Illustrative — reflects VFC's constrained balance sheet (Debt/Equity ~2.8x) limiting an all-cash deal, balanced against management's likely reluctance to issue excessive new equity. Flex on the Transaction &amp; PPA tab; see also the Sensitivity tab for how this choice drives accretion/dilution.</t>
        </is>
      </c>
    </row>
    <row r="17" ht="52" customHeight="1">
      <c r="A17" s="49" t="inlineStr">
        <is>
          <t>ASSUMPTION</t>
        </is>
      </c>
      <c r="B17" s="8" t="inlineStr">
        <is>
          <t>New acquisition debt at 7.5%</t>
        </is>
      </c>
      <c r="C17" s="26" t="inlineStr">
        <is>
          <t>Illustrative — reflects VFC's elevated leverage/credit profile; roughly 100bp above the ~6.5% blended rate estimated on VFC's existing debt.</t>
        </is>
      </c>
    </row>
    <row r="18" ht="52" customHeight="1">
      <c r="A18" s="49" t="inlineStr">
        <is>
          <t>ASSUMPTION</t>
        </is>
      </c>
      <c r="B18" s="8" t="inlineStr">
        <is>
          <t>$400mm intangible step-up, 15-year life; 25% deferred tax rate on step-up</t>
        </is>
      </c>
      <c r="C18" s="26" t="inlineStr">
        <is>
          <t>Illustrative purchase-price-allocation assumptions for brand/customer-relationship intangibles recognized in a strategic apparel-sector acquisition. Goodwill is a PLUG (purchase price less fair value of net identifiable assets) — see Transaction &amp; PPA tab.</t>
        </is>
      </c>
    </row>
    <row r="19" ht="52" customHeight="1">
      <c r="A19" s="49" t="inlineStr">
        <is>
          <t>ASSUMPTION</t>
        </is>
      </c>
      <c r="B19" s="8" t="inlineStr">
        <is>
          <t>$75mm run-rate pretax synergies, 50%/100%/100% phase-in</t>
        </is>
      </c>
      <c r="C19" s="26" t="inlineStr">
        <is>
          <t>Illustrative sourcing/logistics/corporate-overhead synergies typical of a scale combination between two branded apparel companies (~0.5%-0.8% of combined revenue) — NOT company guidance.</t>
        </is>
      </c>
    </row>
    <row r="20" ht="52" customHeight="1">
      <c r="A20" s="49" t="inlineStr">
        <is>
          <t>ASSUMPTION</t>
        </is>
      </c>
      <c r="B20" s="8" t="inlineStr">
        <is>
          <t>25% normalized combined tax rate; UAA 10% standalone rate (NOL-shielded)</t>
        </is>
      </c>
      <c r="C20" s="26" t="inlineStr">
        <is>
          <t>Both companies' FY2025A effective tax rates were anomalous (VFC 52.2%, UAA 1.4%) due to one-time items/valuation allowances; normalized rates are used for all forward projections and the pro forma combination.</t>
        </is>
      </c>
    </row>
    <row r="21" ht="52" customHeight="1">
      <c r="A21" s="50" t="inlineStr">
        <is>
          <t>METHODOLOGY</t>
        </is>
      </c>
      <c r="B21" s="8" t="inlineStr">
        <is>
          <t>Why FY2025A memo rows don't sum to reported net income (VFC)</t>
        </is>
      </c>
      <c r="C21" s="26" t="inlineStr">
        <is>
          <t>VFC's 'income from continuing operations' of $69.3mm is a GAAP figure net of numerous restructuring/other items not individually decomposed here. The EBITDA/EBIT/interest/tax-rate rows for FY2025A are contextual reference points; they will not arithmetically tie to the reported net income line for that single year. Year 1E-3E projections instead build a clean, normalized EBIT-to-net-income bridge — standard practice when a base year contains significant one-time items, and necessary for a meaningful accretion/dilution comparison.</t>
        </is>
      </c>
    </row>
    <row r="22" ht="52" customHeight="1">
      <c r="A22" s="50" t="inlineStr">
        <is>
          <t>METHODOLOGY</t>
        </is>
      </c>
      <c r="B22" s="8" t="inlineStr">
        <is>
          <t>Sensitivity 2 (premium x cash%) simplification</t>
        </is>
      </c>
      <c r="C22" s="26" t="inlineStr">
        <is>
          <t>Holds the deal's incremental PPA amortization and combined pre-synergy EBIT constant as the premium varies (i.e., it flexes only price paid / financing mix, not the operating plan or goodwill). A higher premium would, in reality, also increase goodwill dollar-for-dollar; flex the premium assumption directly on the Transaction &amp; PPA tab for a fully-updated PPA walk at any single premium level.</t>
        </is>
      </c>
    </row>
  </sheetData>
  <mergeCells count="1"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2026-09-10T13:14:11Z</dcterms:created>
  <dcterms:modified xsi:type="dcterms:W3CDTF">2026-09-10T13:14:11Z</dcterms:modified>
</cp:coreProperties>
</file>