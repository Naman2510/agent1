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Income Statement" sheetId="3" state="visible" r:id="rId3"/>
    <sheet name="Balance Sheet" sheetId="4" state="visible" r:id="rId4"/>
    <sheet name="Cash Flow Statement" sheetId="5" state="visible" r:id="rId5"/>
    <sheet name="Debt Schedule" sheetId="6" state="visible" r:id="rId6"/>
    <sheet name="DCF Valuation" sheetId="7" state="visible" r:id="rId7"/>
    <sheet name="Football Field" sheetId="8" state="visible" r:id="rId8"/>
    <sheet name="Sources &amp; Assumptions" sheetId="9" state="visible" r:id="rId9"/>
  </sheets>
  <definedNames/>
  <calcPr calcId="0" fullCalcOnLoad="1" iterate="0"/>
</workbook>
</file>

<file path=xl/styles.xml><?xml version="1.0" encoding="utf-8"?>
<styleSheet xmlns="http://schemas.openxmlformats.org/spreadsheetml/2006/main">
  <numFmts count="7">
    <numFmt numFmtId="164" formatCode="0.0%;(0.0%);&quot;-&quot;"/>
    <numFmt numFmtId="165" formatCode="$#,##0;($#,##0);&quot;-&quot;"/>
    <numFmt numFmtId="166" formatCode="#,##0.0;(#,##0.0);&quot;-&quot;"/>
    <numFmt numFmtId="167" formatCode="0.00%;(0.00%);&quot;-&quot;"/>
    <numFmt numFmtId="168" formatCode="#,##0.00;(#,##0.00);&quot;-&quot;"/>
    <numFmt numFmtId="169" formatCode="$#,##0.00;($#,##0.00);&quot;-&quot;"/>
    <numFmt numFmtId="170" formatCode="0.00&quot;x&quot;"/>
  </numFmts>
  <fonts count="19">
    <font>
      <name val="Calibri"/>
      <family val="2"/>
      <color theme="1"/>
      <sz val="11"/>
      <scheme val="minor"/>
    </font>
    <font>
      <name val="Arial"/>
      <b val="1"/>
      <color rgb="001F3864"/>
      <sz val="16"/>
    </font>
    <font>
      <name val="Arial"/>
      <i val="1"/>
      <color rgb="00595959"/>
      <sz val="11"/>
    </font>
    <font>
      <name val="Arial"/>
      <i val="1"/>
      <sz val="10"/>
    </font>
    <font>
      <name val="Arial"/>
      <b val="1"/>
      <sz val="10"/>
    </font>
    <font>
      <name val="Arial"/>
      <b val="1"/>
      <color rgb="00008000"/>
      <sz val="10"/>
    </font>
    <font>
      <name val="Arial"/>
      <color rgb="00000000"/>
      <sz val="10"/>
    </font>
    <font>
      <name val="Arial"/>
      <color rgb="000000FF"/>
      <sz val="10"/>
    </font>
    <font>
      <name val="Arial"/>
      <color rgb="00008000"/>
      <sz val="10"/>
    </font>
    <font>
      <name val="Arial"/>
      <i val="1"/>
      <color rgb="00C00000"/>
      <sz val="9"/>
    </font>
    <font>
      <name val="Arial"/>
      <i val="1"/>
      <color rgb="00595959"/>
      <sz val="9"/>
    </font>
    <font>
      <name val="Arial"/>
      <b val="1"/>
      <color rgb="00FFFFFF"/>
      <sz val="10"/>
    </font>
    <font>
      <name val="Arial"/>
      <i val="1"/>
      <color rgb="00808080"/>
      <sz val="8"/>
    </font>
    <font>
      <name val="Arial"/>
      <b val="1"/>
      <color rgb="001F3864"/>
      <sz val="10"/>
    </font>
    <font>
      <name val="Arial"/>
      <i val="1"/>
      <color rgb="00A6A6A6"/>
      <sz val="9"/>
    </font>
    <font>
      <name val="Arial"/>
      <i val="1"/>
      <color rgb="00808080"/>
      <sz val="9"/>
    </font>
    <font>
      <name val="Arial"/>
      <b val="1"/>
      <color rgb="000000FF"/>
      <sz val="10"/>
    </font>
    <font>
      <name val="Arial"/>
      <b val="1"/>
      <color rgb="00C00000"/>
      <sz val="10"/>
    </font>
    <font>
      <name val="Arial"/>
      <b val="1"/>
      <color rgb="007030A0"/>
      <sz val="10"/>
    </font>
  </fonts>
  <fills count="6">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
      <patternFill patternType="solid">
        <fgColor rgb="00FFF2CC"/>
      </patternFill>
    </fill>
  </fills>
  <borders count="2">
    <border>
      <left/>
      <right/>
      <top/>
      <bottom/>
      <diagonal/>
    </border>
    <border>
      <top style="thin">
        <color rgb="00000000"/>
      </top>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6" fillId="2" borderId="0" pivotButton="0" quotePrefix="0" xfId="0"/>
    <xf numFmtId="0" fontId="9" fillId="0" borderId="0" pivotButton="0" quotePrefix="0" xfId="0"/>
    <xf numFmtId="0" fontId="10" fillId="0" borderId="0" pivotButton="0" quotePrefix="0" xfId="0"/>
    <xf numFmtId="0" fontId="11" fillId="3" borderId="0" applyAlignment="1" pivotButton="0" quotePrefix="0" xfId="0">
      <alignment horizontal="center"/>
    </xf>
    <xf numFmtId="0" fontId="12" fillId="0" borderId="0" applyAlignment="1" pivotButton="0" quotePrefix="0" xfId="0">
      <alignment horizontal="center"/>
    </xf>
    <xf numFmtId="0" fontId="13" fillId="4" borderId="0" pivotButton="0" quotePrefix="0" xfId="0"/>
    <xf numFmtId="164" fontId="7" fillId="5" borderId="0" pivotButton="0" quotePrefix="0" xfId="0"/>
    <xf numFmtId="165" fontId="7" fillId="5" borderId="0" pivotButton="0" quotePrefix="0" xfId="0"/>
    <xf numFmtId="166" fontId="8" fillId="0" borderId="0" pivotButton="0" quotePrefix="0" xfId="0"/>
    <xf numFmtId="166" fontId="6" fillId="0" borderId="0" pivotButton="0" quotePrefix="0" xfId="0"/>
    <xf numFmtId="167" fontId="7" fillId="5" borderId="0" pivotButton="0" quotePrefix="0" xfId="0"/>
    <xf numFmtId="168" fontId="7" fillId="5" borderId="0" pivotButton="0" quotePrefix="0" xfId="0"/>
    <xf numFmtId="167" fontId="0" fillId="0" borderId="0" pivotButton="0" quotePrefix="0" xfId="0"/>
    <xf numFmtId="164" fontId="8" fillId="0" borderId="0" pivotButton="0" quotePrefix="0" xfId="0"/>
    <xf numFmtId="169" fontId="7" fillId="5" borderId="0" pivotButton="0" quotePrefix="0" xfId="0"/>
    <xf numFmtId="166" fontId="7" fillId="5" borderId="0" pivotButton="0" quotePrefix="0" xfId="0"/>
    <xf numFmtId="165" fontId="0" fillId="0" borderId="0" pivotButton="0" quotePrefix="0" xfId="0"/>
    <xf numFmtId="165" fontId="8" fillId="0" borderId="0" pivotButton="0" quotePrefix="0" xfId="0"/>
    <xf numFmtId="164" fontId="0" fillId="0" borderId="0" pivotButton="0" quotePrefix="0" xfId="0"/>
    <xf numFmtId="167" fontId="4" fillId="2" borderId="0" pivotButton="0" quotePrefix="0" xfId="0"/>
    <xf numFmtId="170" fontId="7" fillId="5" borderId="0" pivotButton="0" quotePrefix="0" xfId="0"/>
    <xf numFmtId="165" fontId="7" fillId="0" borderId="0" pivotButton="0" quotePrefix="0" xfId="0"/>
    <xf numFmtId="164" fontId="6" fillId="0" borderId="0" pivotButton="0" quotePrefix="0" xfId="0"/>
    <xf numFmtId="165" fontId="4" fillId="0" borderId="0" pivotButton="0" quotePrefix="0" xfId="0"/>
    <xf numFmtId="165" fontId="6" fillId="0" borderId="0" pivotButton="0" quotePrefix="0" xfId="0"/>
    <xf numFmtId="165" fontId="4" fillId="0" borderId="1" pivotButton="0" quotePrefix="0" xfId="0"/>
    <xf numFmtId="166" fontId="7" fillId="0" borderId="0" pivotButton="0" quotePrefix="0" xfId="0"/>
    <xf numFmtId="169" fontId="4" fillId="0" borderId="0" pivotButton="0" quotePrefix="0" xfId="0"/>
    <xf numFmtId="0" fontId="14" fillId="0" borderId="0" pivotButton="0" quotePrefix="0" xfId="0"/>
    <xf numFmtId="165" fontId="15" fillId="0" borderId="0" pivotButton="0" quotePrefix="0" xfId="0"/>
    <xf numFmtId="167" fontId="7" fillId="0" borderId="0" pivotButton="0" quotePrefix="0" xfId="0"/>
    <xf numFmtId="167" fontId="8" fillId="0" borderId="0" pivotButton="0" quotePrefix="0" xfId="0"/>
    <xf numFmtId="168" fontId="0" fillId="0" borderId="0" pivotButton="0" quotePrefix="0" xfId="0"/>
    <xf numFmtId="170" fontId="8" fillId="0" borderId="0" pivotButton="0" quotePrefix="0" xfId="0"/>
    <xf numFmtId="167" fontId="10" fillId="0" borderId="0" pivotButton="0" quotePrefix="0" xfId="0"/>
    <xf numFmtId="169" fontId="4" fillId="2" borderId="0" pivotButton="0" quotePrefix="0" xfId="0"/>
    <xf numFmtId="169" fontId="8" fillId="0" borderId="0" pivotButton="0" quotePrefix="0" xfId="0"/>
    <xf numFmtId="164" fontId="4" fillId="0" borderId="0" pivotButton="0" quotePrefix="0" xfId="0"/>
    <xf numFmtId="167" fontId="4" fillId="4" borderId="0" pivotButton="0" quotePrefix="0" xfId="0"/>
    <xf numFmtId="169" fontId="0" fillId="0" borderId="0" pivotButton="0" quotePrefix="0" xfId="0"/>
    <xf numFmtId="170" fontId="4" fillId="4" borderId="0" pivotButton="0" quotePrefix="0" xfId="0"/>
    <xf numFmtId="0" fontId="11" fillId="3" borderId="0" pivotButton="0" quotePrefix="0" xfId="0"/>
    <xf numFmtId="0" fontId="11" fillId="0" borderId="0" pivotButton="0" quotePrefix="0" xfId="0"/>
    <xf numFmtId="169" fontId="7" fillId="0" borderId="0" pivotButton="0" quotePrefix="0" xfId="0"/>
    <xf numFmtId="0" fontId="0" fillId="0" borderId="0" applyAlignment="1" pivotButton="0" quotePrefix="0" xfId="0">
      <alignment vertical="top" wrapText="1"/>
    </xf>
    <xf numFmtId="0" fontId="16" fillId="0" borderId="0" pivotButton="0" quotePrefix="0" xfId="0"/>
    <xf numFmtId="0" fontId="17" fillId="0" borderId="0" pivotButton="0" quotePrefix="0" xfId="0"/>
    <xf numFmtId="0" fontId="1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NIKE, Inc. — Valuation Football Field (implied share price, $)</a:t>
            </a:r>
          </a:p>
        </rich>
      </tx>
    </title>
    <plotArea>
      <barChart>
        <barDir val="bar"/>
        <grouping val="stacked"/>
        <ser>
          <idx val="0"/>
          <order val="0"/>
          <tx>
            <strRef>
              <f>'Football Field'!G4</f>
            </strRef>
          </tx>
          <spPr>
            <a:noFill/>
            <a:ln>
              <a:noFill/>
              <a:prstDash val="solid"/>
            </a:ln>
          </spPr>
          <cat>
            <numRef>
              <f>'Football Field'!$F$5:$F$8</f>
            </numRef>
          </cat>
          <val>
            <numRef>
              <f>'Football Field'!$G$5:$G$8</f>
            </numRef>
          </val>
        </ser>
        <ser>
          <idx val="1"/>
          <order val="1"/>
          <tx>
            <strRef>
              <f>'Football Field'!H4</f>
            </strRef>
          </tx>
          <spPr>
            <a:solidFill>
              <a:srgbClr val="1F3864"/>
            </a:solidFill>
            <a:ln>
              <a:prstDash val="solid"/>
            </a:ln>
          </spPr>
          <cat>
            <numRef>
              <f>'Football Field'!$F$5:$F$8</f>
            </numRef>
          </cat>
          <val>
            <numRef>
              <f>'Football Field'!$H$5:$H$8</f>
            </numRef>
          </val>
        </ser>
        <gapWidth val="150"/>
        <overlap val="100"/>
        <axId val="10"/>
        <axId val="100"/>
      </barChart>
      <catAx>
        <axId val="10"/>
        <scaling>
          <orientation val="minMax"/>
        </scaling>
        <axPos val="l"/>
        <title>
          <tx>
            <rich>
              <a:bodyPr/>
              <a:p>
                <a:pPr>
                  <a:defRPr/>
                </a:pPr>
                <a:r>
                  <a:t>Implied share price ($)</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Model Author</author>
  </authors>
  <commentList>
    <comment ref="B21" authorId="0" shapeId="0">
      <text>
        <t>Historical figure estimated (not separately disclosed at this granularity in search results); FY24/FY25 net non-operating income of $318mm/$179mm was allocated between interest expense, interest income and other income, net using typical Nike disclosure proportions.</t>
      </text>
    </comment>
    <comment ref="B30" authorId="0" shapeId="0">
      <text>
        <t>ESTIMATE — exact FY2024 diluted share count was not retrieved this session; interpolated from FY2025A actual (1,487.6mm) plus one year of buyback-driven share count reduction.</t>
      </text>
    </comment>
  </commentList>
</comments>
</file>

<file path=xl/comments/comment2.xml><?xml version="1.0" encoding="utf-8"?>
<comments xmlns="http://schemas.openxmlformats.org/spreadsheetml/2006/main">
  <authors>
    <author>Model Author</author>
  </authors>
  <commentList>
    <comment ref="B6" authorId="0" shapeId="0">
      <text>
        <t>FY24A: Cash &amp; equivalents $9,860mm + short-term investments (est. $1,740mm, derived from disclosed combined total of ~$11.6bn). Combined into one line as a modeling simplification.</t>
      </text>
    </comment>
    <comment ref="C6" authorId="0" shapeId="0">
      <text>
        <t>FY25A: Cash &amp; equivalents $7,464mm + short-term investments (est. $1,736mm, derived from disclosed combined total of ~$9.2bn).</t>
      </text>
    </comment>
    <comment ref="B9" authorId="0" shapeId="0">
      <text>
        <t>ESTIMATE — 'Prepaid expenses and other current assets' not separately retrieved this session; sized off Nike's typical historical disclosure (~$2.0-2.3bn).</t>
      </text>
    </comment>
    <comment ref="B11" authorId="0" shapeId="0">
      <text>
        <t>ESTIMATE — Net PP&amp;E not separately retrieved this session; sized off Nike's historical run-rate (~$5.0-5.3bn).</t>
      </text>
    </comment>
    <comment ref="B24" authorId="0" shapeId="0">
      <text>
        <t>FY24A total shareholders' equity ~$14,430mm (approx., aggregator-derived). FY25A equity of $13,213mm is the sourced figure.</t>
      </text>
    </comment>
  </commentList>
</comments>
</file>

<file path=xl/comments/comment3.xml><?xml version="1.0" encoding="utf-8"?>
<comments xmlns="http://schemas.openxmlformats.org/spreadsheetml/2006/main">
  <authors>
    <author>Model Author</author>
  </authors>
  <commentList>
    <comment ref="B8" authorId="0" shapeId="0">
      <text>
        <t>ESTIMATE — stock-based compensation not separately retrieved this session; sized off Nike's historical run-rate (~$650-750mm/yr).</t>
      </text>
    </comment>
    <comment ref="B13" authorId="0" shapeId="0">
      <text>
        <t>Historical CFO shown as reported (Form 10-K / earnings release). Detailed line-by-line NWC build applies to projected periods only — see Sources &amp; Assumptions tab.</t>
      </text>
    </comment>
    <comment ref="B15" authorId="0" shapeId="0">
      <text>
        <t>ESTIMATE — exact capex line not retrieved this session; see Assumptions tab capex% note.</t>
      </text>
    </comment>
    <comment ref="B16" authorId="0" shapeId="0">
      <text>
        <t>Historical total investing cash flow as reported (includes net purchases/maturities of short-term investments, not modeled granularly). Source: Nike FY2025 earnings release commentary.</t>
      </text>
    </comment>
    <comment ref="B18" authorId="0" shapeId="0">
      <text>
        <t>Source: NKE FY2025 full-year earnings release — 'returned $5.3bn to shareholders in FY25, incl. $2.3bn dividends / $3.0bn buybacks' and 'returned ~$6.4bn in FY24, incl. $2.2bn dividends / $4.3bn buybacks.'</t>
      </text>
    </comment>
    <comment ref="C20" authorId="0" shapeId="0">
      <text>
        <t>FY25A long-term debt fell from ~$8,900mm to $8,000mm (bond maturities); FY24A prior-year balance not available this session so no repayment is shown in the FY24A column.</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C24"/>
  <sheetViews>
    <sheetView workbookViewId="0">
      <selection activeCell="A1" sqref="A1"/>
    </sheetView>
  </sheetViews>
  <sheetFormatPr baseColWidth="8" defaultRowHeight="15"/>
  <cols>
    <col width="4" customWidth="1" min="1" max="1"/>
    <col width="44" customWidth="1" min="2" max="2"/>
    <col width="44" customWidth="1" min="3" max="3"/>
    <col width="20" customWidth="1" min="4" max="4"/>
    <col width="20" customWidth="1" min="5" max="5"/>
    <col width="20" customWidth="1" min="6" max="6"/>
    <col width="20" customWidth="1" min="7" max="7"/>
    <col width="20" customWidth="1" min="8" max="8"/>
  </cols>
  <sheetData>
    <row r="2">
      <c r="B2" s="1" t="inlineStr">
        <is>
          <t>NIKE, Inc. (NYSE: NKE)</t>
        </is>
      </c>
    </row>
    <row r="3">
      <c r="B3" s="2" t="inlineStr">
        <is>
          <t>Fully-Linked 3-Statement Operating Model &amp; Discounted Cash Flow Valuation</t>
        </is>
      </c>
    </row>
    <row r="5">
      <c r="B5" s="3" t="inlineStr">
        <is>
          <t>Fiscal year end: May 31   |   Sector: Footwear, Apparel &amp; Equipment   |   Currency: USD, $ in millions unless noted</t>
        </is>
      </c>
    </row>
    <row r="7">
      <c r="B7" s="4" t="inlineStr">
        <is>
          <t>Contents</t>
        </is>
      </c>
    </row>
    <row r="8">
      <c r="B8" s="5" t="inlineStr">
        <is>
          <t>Assumptions</t>
        </is>
      </c>
      <c r="C8" s="6" t="inlineStr">
        <is>
          <t>Operating, financing and WACC assumptions — all model drivers in one place</t>
        </is>
      </c>
    </row>
    <row r="9">
      <c r="B9" s="5" t="inlineStr">
        <is>
          <t>Income Statement</t>
        </is>
      </c>
      <c r="C9" s="6" t="inlineStr">
        <is>
          <t>FY2024A-FY2025A historicals + FY2026E-FY2030E projections, fully formula-driven</t>
        </is>
      </c>
    </row>
    <row r="10">
      <c r="B10" s="5" t="inlineStr">
        <is>
          <t>Balance Sheet</t>
        </is>
      </c>
      <c r="C10" s="6" t="inlineStr">
        <is>
          <t>Fully linked balance sheet; balance check confirms Assets = Liabilities + Equity</t>
        </is>
      </c>
    </row>
    <row r="11">
      <c r="B11" s="5" t="inlineStr">
        <is>
          <t>Cash Flow Statement</t>
        </is>
      </c>
      <c r="C11" s="6" t="inlineStr">
        <is>
          <t>Indirect-method CFO/CFI/CFF, ties to BS cash and IS net income</t>
        </is>
      </c>
    </row>
    <row r="12">
      <c r="B12" s="5" t="inlineStr">
        <is>
          <t>Debt Schedule</t>
        </is>
      </c>
      <c r="C12" s="6" t="inlineStr">
        <is>
          <t>Term debt + revolving credit facility, with a dynamic cash-sweep/revolver-draw mechanic</t>
        </is>
      </c>
    </row>
    <row r="13">
      <c r="B13" s="5" t="inlineStr">
        <is>
          <t>DCF Valuation</t>
        </is>
      </c>
      <c r="C13" s="6" t="inlineStr">
        <is>
          <t>WACC build-up, unlevered FCF, Gordon Growth &amp; Exit Multiple terminal value, 2-way sensitivity tables</t>
        </is>
      </c>
    </row>
    <row r="14">
      <c r="B14" s="5" t="inlineStr">
        <is>
          <t>Football Field</t>
        </is>
      </c>
      <c r="C14" s="6" t="inlineStr">
        <is>
          <t>Valuation summary football-field chart across four methodologies</t>
        </is>
      </c>
    </row>
    <row r="15">
      <c r="B15" s="5" t="inlineStr">
        <is>
          <t>Sources &amp; Assumptions</t>
        </is>
      </c>
      <c r="C15" s="6" t="inlineStr">
        <is>
          <t>Full citation list and explicit disclosure of every estimated (non-sourced) input</t>
        </is>
      </c>
    </row>
    <row r="17">
      <c r="B17" s="4" t="inlineStr">
        <is>
          <t>Color legend:</t>
        </is>
      </c>
    </row>
    <row r="18">
      <c r="B18" s="7" t="inlineStr">
        <is>
          <t>Blue text</t>
        </is>
      </c>
      <c r="C18" t="inlineStr">
        <is>
          <t>hardcoded input / sourced actual</t>
        </is>
      </c>
    </row>
    <row r="19">
      <c r="B19" s="6" t="inlineStr">
        <is>
          <t>Black text</t>
        </is>
      </c>
      <c r="C19" t="inlineStr">
        <is>
          <t>formula (same-sheet)</t>
        </is>
      </c>
    </row>
    <row r="20">
      <c r="B20" s="8" t="inlineStr">
        <is>
          <t>Green text</t>
        </is>
      </c>
      <c r="C20" t="inlineStr">
        <is>
          <t>formula linking to another sheet</t>
        </is>
      </c>
    </row>
    <row r="21">
      <c r="B21" s="9" t="inlineStr">
        <is>
          <t>Yellow fill</t>
        </is>
      </c>
      <c r="C21" t="inlineStr">
        <is>
          <t>key assumption cell (edit here to flex the model)</t>
        </is>
      </c>
    </row>
    <row r="23">
      <c r="B23" s="10" t="inlineStr">
        <is>
          <t>IMPORTANT: This model was built for educational / illustrative financial-modeling purposes.</t>
        </is>
      </c>
    </row>
    <row r="24">
      <c r="B24" s="10" t="inlineStr">
        <is>
          <t>It is not investment advice and should not be relied upon to make an investment decision. See the Sources &amp; Assumptions tab for every citation and every estimated figure.</t>
        </is>
      </c>
    </row>
  </sheetData>
  <pageMargins left="0.75" right="0.75" top="1" bottom="1" header="0.5" footer="0.5"/>
</worksheet>
</file>

<file path=xl/worksheets/sheet2.xml><?xml version="1.0" encoding="utf-8"?>
<s:worksheet xmlns:s="http://schemas.openxmlformats.org/spreadsheetml/2006/main">
  <s:sheetPr>
    <s:outlinePr summaryBelow="1" summaryRight="1"/>
    <s:pageSetUpPr/>
  </s:sheetPr>
  <s:dimension ref="A1:I47"/>
  <s:sheetViews>
    <s:sheetView workbookViewId="0">
      <s:pane xSplit="1" ySplit="3" topLeftCell="B4" activePane="bottomRight" state="frozen"/>
      <s:selection pane="topRight"/>
      <s:selection pane="bottomLeft"/>
      <s:selection pane="bottomRight" activeCell="A1" sqref="A1"/>
    </s:sheetView>
  </s:sheetViews>
  <s:sheetFormatPr baseColWidth="8" defaultRowHeight="15"/>
  <s:cols>
    <s:col width="42" customWidth="1" min="1" max="1"/>
    <s:col width="12" customWidth="1" min="2" max="2"/>
    <s:col width="12" customWidth="1" min="3" max="3"/>
    <s:col width="12" customWidth="1" min="4" max="4"/>
    <s:col width="12" customWidth="1" min="5" max="5"/>
    <s:col width="12" customWidth="1" min="6" max="6"/>
    <s:col width="12" customWidth="1" min="7" max="7"/>
    <s:col width="12" customWidth="1" min="8" max="8"/>
    <s:col width="50" customWidth="1" min="9" max="9"/>
  </s:cols>
  <s:sheetData>
    <s:row r="1">
      <s:c r="A1" s="1" t="inlineStr">
        <s:is>
          <s:t>NIKE, Inc. — Model Assumptions</s:t>
        </s:is>
      </s:c>
    </s:row>
    <s:row r="3">
      <s:c r="A3" s="11" t="inlineStr">
        <s:is>
          <s:t>$ in millions, except per-share data</s:t>
        </s:is>
      </s:c>
      <s:c r="B3" s="12" t="inlineStr">
        <s:is>
          <s:t>FY2024A</s:t>
        </s:is>
      </s:c>
      <s:c r="C3" s="12" t="inlineStr">
        <s:is>
          <s:t>FY2025A</s:t>
        </s:is>
      </s:c>
      <s:c r="D3" s="12" t="inlineStr">
        <s:is>
          <s:t>FY2026E</s:t>
        </s:is>
      </s:c>
      <s:c r="E3" s="12" t="inlineStr">
        <s:is>
          <s:t>FY2027E</s:t>
        </s:is>
      </s:c>
      <s:c r="F3" s="12" t="inlineStr">
        <s:is>
          <s:t>FY2028E</s:t>
        </s:is>
      </s:c>
      <s:c r="G3" s="12" t="inlineStr">
        <s:is>
          <s:t>FY2029E</s:t>
        </s:is>
      </s:c>
      <s:c r="H3" s="12" t="inlineStr">
        <s:is>
          <s:t>FY2030E</s:t>
        </s:is>
      </s:c>
    </s:row>
    <s:row r="4">
      <s:c r="B4" s="13" t="inlineStr">
        <s:is>
          <s:t>Actual</s:t>
        </s:is>
      </s:c>
      <s:c r="C4" s="13" t="inlineStr">
        <s:is>
          <s:t>Actual</s:t>
        </s:is>
      </s:c>
      <s:c r="D4" s="13" t="inlineStr">
        <s:is>
          <s:t>Projected</s:t>
        </s:is>
      </s:c>
      <s:c r="E4" s="13" t="inlineStr">
        <s:is>
          <s:t>Projected</s:t>
        </s:is>
      </s:c>
      <s:c r="F4" s="13" t="inlineStr">
        <s:is>
          <s:t>Projected</s:t>
        </s:is>
      </s:c>
      <s:c r="G4" s="13" t="inlineStr">
        <s:is>
          <s:t>Projected</s:t>
        </s:is>
      </s:c>
      <s:c r="H4" s="13" t="inlineStr">
        <s:is>
          <s:t>Projected</s:t>
        </s:is>
      </s:c>
    </s:row>
    <s:row r="6">
      <s:c r="A6" s="14" t="inlineStr">
        <s:is>
          <s:t>OPERATING ASSUMPTIONS</s:t>
        </s:is>
      </s:c>
      <s:c r="B6" s="14" t="n"/>
      <s:c r="C6" s="14" t="n"/>
      <s:c r="D6" s="14" t="n"/>
      <s:c r="E6" s="14" t="n"/>
      <s:c r="F6" s="14" t="n"/>
      <s:c r="G6" s="14" t="n"/>
      <s:c r="H6" s="14" t="n"/>
      <s:c r="I6" s="14" t="n"/>
    </s:row>
    <s:row r="7">
      <s:c r="A7" s="6" t="inlineStr">
        <s:is>
          <s:t>Revenue growth, % YoY</s:t>
        </s:is>
      </s:c>
      <s:c r="D7" s="15" t="n">
        <s:v>-0.01</s:v>
      </s:c>
      <s:c r="E7" s="15" t="n">
        <s:v>0.03</s:v>
      </s:c>
      <s:c r="F7" s="15" t="n">
        <s:v>0.05</s:v>
      </s:c>
      <s:c r="G7" s="15" t="n">
        <s:v>0.06</s:v>
      </s:c>
      <s:c r="H7" s="15" t="n">
        <s:v>0.06</s:v>
      </s:c>
      <s:c r="I7" t="inlineStr">
        <s:is>
          <s:t>Analyst assumption: modest FY26 revenue decline persists (turnaround), recovering to mid-single-digit growth by FY28-30. Not a company guidance figure.</s:t>
        </s:is>
      </s:c>
    </s:row>
    <s:row r="8">
      <s:c r="A8" s="6" t="inlineStr">
        <s:is>
          <s:t>Gross margin, % of revenue</s:t>
        </s:is>
      </s:c>
      <s:c r="D8" s="15" t="n">
        <s:v>0.435</s:v>
      </s:c>
      <s:c r="E8" s="15" t="n">
        <s:v>0.44</s:v>
      </s:c>
      <s:c r="F8" s="15" t="n">
        <s:v>0.445</s:v>
      </s:c>
      <s:c r="G8" s="15" t="n">
        <s:v>0.45</s:v>
      </s:c>
      <s:c r="H8" s="15" t="n">
        <s:v>0.45</s:v>
      </s:c>
      <s:c r="I8" t="inlineStr">
        <s:is>
          <s:t>Assumption: gradual margin recovery from FY25A 42.7% toward Nike's historical mid-40s% range as tariff/promotional headwinds ease.</s:t>
        </s:is>
      </s:c>
    </s:row>
    <s:row r="9">
      <s:c r="A9" s="6" t="inlineStr">
        <s:is>
          <s:t>SG&amp;A, % of revenue</s:t>
        </s:is>
      </s:c>
      <s:c r="D9" s="15" t="n">
        <s:v>0.34</s:v>
      </s:c>
      <s:c r="E9" s="15" t="n">
        <s:v>0.33</s:v>
      </s:c>
      <s:c r="F9" s="15" t="n">
        <s:v>0.325</s:v>
      </s:c>
      <s:c r="G9" s="15" t="n">
        <s:v>0.32</s:v>
      </s:c>
      <s:c r="H9" s="15" t="n">
        <s:v>0.32</s:v>
      </s:c>
      <s:c r="I9" t="inlineStr">
        <s:is>
          <s:t>Assumption: continued opex discipline / operating leverage vs. FY25A 34.7%.</s:t>
        </s:is>
      </s:c>
    </s:row>
    <s:row r="10">
      <s:c r="A10" s="6" t="inlineStr">
        <s:is>
          <s:t>D&amp;A, % of revenue</s:t>
        </s:is>
      </s:c>
      <s:c r="D10" s="15" t="n">
        <s:v>0.017</s:v>
      </s:c>
      <s:c r="E10" s="15" t="n">
        <s:v>0.017</s:v>
      </s:c>
      <s:c r="F10" s="15" t="n">
        <s:v>0.017</s:v>
      </s:c>
      <s:c r="G10" s="15" t="n">
        <s:v>0.017</s:v>
      </s:c>
      <s:c r="H10" s="15" t="n">
        <s:v>0.017</s:v>
      </s:c>
      <s:c r="I10" t="inlineStr">
        <s:is>
          <s:t>Held at FY25A actual ratio ($775mm D&amp;A / $46,313mm revenue = 1.67%, rounded).</s:t>
        </s:is>
      </s:c>
    </s:row>
    <s:row r="11">
      <s:c r="A11" s="6" t="inlineStr">
        <s:is>
          <s:t>Capital expenditures, % of revenue</s:t>
        </s:is>
      </s:c>
      <s:c r="D11" s="15" t="n">
        <s:v>0.018</s:v>
      </s:c>
      <s:c r="E11" s="15" t="n">
        <s:v>0.018</s:v>
      </s:c>
      <s:c r="F11" s="15" t="n">
        <s:v>0.018</s:v>
      </s:c>
      <s:c r="G11" s="15" t="n">
        <s:v>0.018</s:v>
      </s:c>
      <s:c r="H11" s="15" t="n">
        <s:v>0.018</s:v>
      </s:c>
      <s:c r="I11" t="inlineStr">
        <s:is>
          <s:t>ESTIMATE — exact FY2025 10-K capex line was not retrievable via available research tools this session; set slightly above the D&amp;A ratio, consistent with Nike's historically low capital intensity (~$700-900mm/yr).</s:t>
        </s:is>
      </s:c>
    </s:row>
    <s:row r="12">
      <s:c r="A12" s="6" t="inlineStr">
        <s:is>
          <s:t>Stock-based compensation, % of revenue</s:t>
        </s:is>
      </s:c>
      <s:c r="D12" s="15" t="n">
        <s:v>0.015</s:v>
      </s:c>
      <s:c r="E12" s="15" t="n">
        <s:v>0.015</s:v>
      </s:c>
      <s:c r="F12" s="15" t="n">
        <s:v>0.015</s:v>
      </s:c>
      <s:c r="G12" s="15" t="n">
        <s:v>0.015</s:v>
      </s:c>
      <s:c r="H12" s="15" t="n">
        <s:v>0.015</s:v>
      </s:c>
      <s:c r="I12" t="inlineStr">
        <s:is>
          <s:t>ESTIMATE based on Nike's historical SBC run-rate (~$650-750mm/yr on ~$46-51bn revenue).</s:t>
        </s:is>
      </s:c>
    </s:row>
    <s:row r="13">
      <s:c r="A13" s="6" t="inlineStr">
        <s:is>
          <s:t>Effective tax rate, %</s:t>
        </s:is>
      </s:c>
      <s:c r="D13" s="15" t="n">
        <s:v>0.2</s:v>
      </s:c>
      <s:c r="E13" s="15" t="n">
        <s:v>0.2</s:v>
      </s:c>
      <s:c r="F13" s="15" t="n">
        <s:v>0.2</s:v>
      </s:c>
      <s:c r="G13" s="15" t="n">
        <s:v>0.2</s:v>
      </s:c>
      <s:c r="H13" s="15" t="n">
        <s:v>0.2</s:v>
      </s:c>
      <s:c r="I13" t="inlineStr">
        <s:is>
          <s:t>Normalized long-term rate; FY24A/FY25A actuals (14.9% / 17.1%) included one-time items per 10-K MD&amp;A.</s:t>
        </s:is>
      </s:c>
    </s:row>
    <s:row r="14">
      <s:c r="A14" s="6" t="inlineStr">
        <s:is>
          <s:t>Dividend payout ratio, % of net income</s:t>
        </s:is>
      </s:c>
      <s:c r="D14" s="15" t="n">
        <s:v>0.55</s:v>
      </s:c>
      <s:c r="E14" s="15" t="n">
        <s:v>0.55</s:v>
      </s:c>
      <s:c r="F14" s="15" t="n">
        <s:v>0.55</s:v>
      </s:c>
      <s:c r="G14" s="15" t="n">
        <s:v>0.55</s:v>
      </s:c>
      <s:c r="H14" s="15" t="n">
        <s:v>0.55</s:v>
      </s:c>
      <s:c r="I14" t="inlineStr">
        <s:is>
          <s:t>Assumption consistent with FY24A-FY25A dividends of ~$2.2-2.3bn against fluctuating net income.</s:t>
        </s:is>
      </s:c>
    </s:row>
    <s:row r="15">
      <s:c r="A15" s="6" t="inlineStr">
        <s:is>
          <s:t>Share buybacks, $mm</s:t>
        </s:is>
      </s:c>
      <s:c r="D15" s="16" t="n">
        <s:v>2500</s:v>
      </s:c>
      <s:c r="E15" s="16" t="n">
        <s:v>2500</s:v>
      </s:c>
      <s:c r="F15" s="16" t="n">
        <s:v>2500</s:v>
      </s:c>
      <s:c r="G15" s="16" t="n">
        <s:v>2500</s:v>
      </s:c>
      <s:c r="H15" s="16" t="n">
        <s:v>2500</s:v>
      </s:c>
      <s:c r="I15" t="inlineStr">
        <s:is>
          <s:t>Assumption: moderated pace vs. FY24A $4.3bn / FY25A $3.0bn given lower FCF generation.</s:t>
        </s:is>
      </s:c>
    </s:row>
    <s:row r="16">
      <s:c r="A16" s="6" t="inlineStr">
        <s:is>
          <s:t>Diluted share count reduction from buybacks, % of buyback $ / price</s:t>
        </s:is>
      </s:c>
    </s:row>
    <s:row r="17">
      <s:c r="A17" s="14" t="inlineStr">
        <s:is>
          <s:t>WORKING CAPITAL ASSUMPTIONS (days, held at FY2025A actual levels)</s:t>
        </s:is>
      </s:c>
      <s:c r="B17" s="14" t="n"/>
      <s:c r="C17" s="14" t="n"/>
      <s:c r="D17" s="14" t="n"/>
      <s:c r="E17" s="14" t="n"/>
      <s:c r="F17" s="14" t="n"/>
      <s:c r="G17" s="14" t="n"/>
      <s:c r="H17" s="14" t="n"/>
      <s:c r="I17" s="14" t="n"/>
    </s:row>
    <s:row r="18">
      <s:c r="A18" s="6" t="inlineStr">
        <s:is>
          <s:t>Days Sales Outstanding (AR)</s:t>
        </s:is>
      </s:c>
      <s:c r="C18" s="17">
        <s:f>IF('Balance Sheet'!C7=0,0,'Balance Sheet'!C7/'Income Statement'!C6*365)</s:f>
        <s:v>37.17541511022823</s:v>
      </s:c>
      <s:c r="D18" s="18">
        <s:f>$C$18</s:f>
        <s:v>37.17541511022823</s:v>
      </s:c>
      <s:c r="E18" s="18">
        <s:f>$C$18</s:f>
        <s:v>37.17541511022823</s:v>
      </s:c>
      <s:c r="F18" s="18">
        <s:f>$C$18</s:f>
        <s:v>37.17541511022823</s:v>
      </s:c>
      <s:c r="G18" s="18">
        <s:f>$C$18</s:f>
        <s:v>37.17541511022823</s:v>
      </s:c>
      <s:c r="H18" s="18">
        <s:f>$C$18</s:f>
        <s:v>37.17541511022823</s:v>
      </s:c>
      <s:c r="I18" t="inlineStr">
        <s:is>
          <s:t>Held flat at FY2025A actual DSO.</s:t>
        </s:is>
      </s:c>
    </s:row>
    <s:row r="19">
      <s:c r="A19" s="6" t="inlineStr">
        <s:is>
          <s:t>Days Inventory Outstanding (Inventory / COGS)</s:t>
        </s:is>
      </s:c>
      <s:c r="C19" s="17">
        <s:f>IF('Balance Sheet'!C8=0,0,'Balance Sheet'!C8/'Income Statement'!C9*365)</s:f>
        <s:v>103.07647347185038</s:v>
      </s:c>
      <s:c r="D19" s="18">
        <s:f>$C$19</s:f>
        <s:v>103.07647347185038</s:v>
      </s:c>
      <s:c r="E19" s="18">
        <s:f>$C$19</s:f>
        <s:v>103.07647347185038</s:v>
      </s:c>
      <s:c r="F19" s="18">
        <s:f>$C$19</s:f>
        <s:v>103.07647347185038</s:v>
      </s:c>
      <s:c r="G19" s="18">
        <s:f>$C$19</s:f>
        <s:v>103.07647347185038</s:v>
      </s:c>
      <s:c r="H19" s="18">
        <s:f>$C$19</s:f>
        <s:v>103.07647347185038</s:v>
      </s:c>
      <s:c r="I19" t="inlineStr">
        <s:is>
          <s:t>Held flat at FY2025A actual DIO.</s:t>
        </s:is>
      </s:c>
    </s:row>
    <s:row r="20">
      <s:c r="A20" s="6" t="inlineStr">
        <s:is>
          <s:t>Days Payable Outstanding (AP / COGS)</s:t>
        </s:is>
      </s:c>
      <s:c r="C20" s="17">
        <s:f>IF('Balance Sheet'!C15=0,0,'Balance Sheet'!C15/'Income Statement'!C9*365)</s:f>
        <s:v>47.883969983785214</s:v>
      </s:c>
      <s:c r="D20" s="18">
        <s:f>$C$20</s:f>
        <s:v>47.883969983785214</s:v>
      </s:c>
      <s:c r="E20" s="18">
        <s:f>$C$20</s:f>
        <s:v>47.883969983785214</s:v>
      </s:c>
      <s:c r="F20" s="18">
        <s:f>$C$20</s:f>
        <s:v>47.883969983785214</s:v>
      </s:c>
      <s:c r="G20" s="18">
        <s:f>$C$20</s:f>
        <s:v>47.883969983785214</s:v>
      </s:c>
      <s:c r="H20" s="18">
        <s:f>$C$20</s:f>
        <s:v>47.883969983785214</s:v>
      </s:c>
      <s:c r="I20" t="inlineStr">
        <s:is>
          <s:t>Held flat at FY2025A actual DPO.</s:t>
        </s:is>
      </s:c>
    </s:row>
    <s:row r="22">
      <s:c r="A22" s="14" t="inlineStr">
        <s:is>
          <s:t>DEBT SCHEDULE &amp; FINANCING ASSUMPTIONS</s:t>
        </s:is>
      </s:c>
      <s:c r="B22" s="14" t="n"/>
      <s:c r="C22" s="14" t="n"/>
      <s:c r="D22" s="14" t="n"/>
      <s:c r="E22" s="14" t="n"/>
      <s:c r="F22" s="14" t="n"/>
      <s:c r="G22" s="14" t="n"/>
      <s:c r="H22" s="14" t="n"/>
      <s:c r="I22" s="14" t="n"/>
    </s:row>
    <s:row r="23">
      <s:c r="A23" s="6" t="inlineStr">
        <s:is>
          <s:t>Existing long-term debt, blended coupon rate</s:t>
        </s:is>
      </s:c>
      <s:c r="C23" s="15" t="n">
        <s:v>0.036</s:v>
      </s:c>
      <s:c r="I23" t="inlineStr">
        <s:is>
          <s:t>ESTIMATE — Nike's outstanding public bonds carry fixed coupons historically in the ~2.4%-3.9% range; 3.6% used as a blended proxy (exact weighted-average coupon not retrieved this session).</s:t>
        </s:is>
      </s:c>
    </s:row>
    <s:row r="24">
      <s:c r="A24" s="6" t="inlineStr">
        <s:is>
          <s:t>Revolver capacity, $mm</s:t>
        </s:is>
      </s:c>
      <s:c r="C24" s="16" t="n">
        <s:v>2000</s:v>
      </s:c>
      <s:c r="I24" t="inlineStr">
        <s:is>
          <s:t>Illustrative — sized off Nike's public commercial paper / credit-facility disclosures.</s:t>
        </s:is>
      </s:c>
    </s:row>
    <s:row r="25">
      <s:c r="A25" s="6" t="inlineStr">
        <s:is>
          <s:t>Revolver interest rate (SOFR + spread)</s:t>
        </s:is>
      </s:c>
      <s:c r="C25" s="15" t="n">
        <s:v>0.05</s:v>
      </s:c>
      <s:c r="I25" t="inlineStr">
        <s:is>
          <s:t>Term SOFR (~4.3% proxy, in line with Sept-2026 short rates) + 0.725% facility spread per Nike's credit agreement terms.</s:t>
        </s:is>
      </s:c>
    </s:row>
    <s:row r="26">
      <s:c r="A26" s="6" t="inlineStr">
        <s:is>
          <s:t>Interest rate earned on cash &amp; short-term investments</s:t>
        </s:is>
      </s:c>
      <s:c r="C26" s="15" t="n">
        <s:v>0.045</s:v>
      </s:c>
      <s:c r="I26" t="inlineStr">
        <s:is>
          <s:t>Proxy for prevailing short-term T-bill / money-market yields, Sept 2026.</s:t>
        </s:is>
      </s:c>
    </s:row>
    <s:row r="27">
      <s:c r="A27" s="6" t="inlineStr">
        <s:is>
          <s:t>Minimum cash balance (revolver trigger)</s:t>
        </s:is>
      </s:c>
      <s:c r="C27" s="16" t="n">
        <s:v>3000</s:v>
      </s:c>
      <s:c r="I27" t="inlineStr">
        <s:is>
          <s:t>Policy assumption: company draws the revolver only if cash would otherwise fall below this floor, and sweeps excess cash above it to repay any revolver balance.</s:t>
        </s:is>
      </s:c>
    </s:row>
    <s:row r="29">
      <s:c r="A29" s="14" t="inlineStr">
        <s:is>
          <s:t>WACC BUILD-UP</s:t>
        </s:is>
      </s:c>
      <s:c r="B29" s="14" t="n"/>
      <s:c r="C29" s="14" t="n"/>
      <s:c r="D29" s="14" t="n"/>
      <s:c r="E29" s="14" t="n"/>
      <s:c r="F29" s="14" t="n"/>
      <s:c r="G29" s="14" t="n"/>
      <s:c r="H29" s="14" t="n"/>
      <s:c r="I29" s="14" t="n"/>
    </s:row>
    <s:row r="30">
      <s:c r="A30" s="6" t="inlineStr">
        <s:is>
          <s:t>Risk-free rate (10-yr U.S. Treasury yield)</s:t>
        </s:is>
      </s:c>
      <s:c r="C30" s="19" t="n">
        <s:v>0.048</s:v>
      </s:c>
      <s:c r="I30" t="inlineStr">
        <s:is>
          <s:t>Source: 10-yr UST yield ~4.80-4.85%, quoted Sept 8, 2026 (CNBC / Treasury market data).</s:t>
        </s:is>
      </s:c>
    </s:row>
    <s:row r="31">
      <s:c r="A31" s="6" t="inlineStr">
        <s:is>
          <s:t>Levered beta</s:t>
        </s:is>
      </s:c>
      <s:c r="C31" s="20" t="n">
        <s:v>1.09</s:v>
      </s:c>
      <s:c r="I31" t="inlineStr">
        <s:is>
          <s:t>Source: NKE reported beta, Sept 2026 (market data aggregator).</s:t>
        </s:is>
      </s:c>
    </s:row>
    <s:row r="32">
      <s:c r="A32" s="6" t="inlineStr">
        <s:is>
          <s:t>Equity risk premium</s:t>
        </s:is>
      </s:c>
      <s:c r="C32" s="19" t="n">
        <s:v>0.055</s:v>
      </s:c>
      <s:c r="I32" t="inlineStr">
        <s:is>
          <s:t>Standard long-horizon U.S. ERP assumption (Damodaran-style), not company-specific.</s:t>
        </s:is>
      </s:c>
    </s:row>
    <s:row r="33">
      <s:c r="A33" s="6" t="inlineStr">
        <s:is>
          <s:t>Cost of equity (CAPM)</s:t>
        </s:is>
      </s:c>
      <s:c r="C33" s="21">
        <s:f>C30+C31*C32</s:f>
        <s:v>0.10795</s:v>
      </s:c>
    </s:row>
    <s:row r="34">
      <s:c r="A34" s="6" t="inlineStr">
        <s:is>
          <s:t>Pre-tax cost of debt</s:t>
        </s:is>
      </s:c>
      <s:c r="C34" s="19" t="n">
        <s:v>0.055</s:v>
      </s:c>
      <s:c r="I34" t="inlineStr">
        <s:is>
          <s:t>ESTIMATE: current market new-issue yield proxy for a high-grade (A2/A+) industrial credit, ~70bp over the 10-yr UST; Nike's debt was downgraded to A2 by Moody's in Nov-2025.</s:t>
        </s:is>
      </s:c>
    </s:row>
    <s:row r="35">
      <s:c r="A35" s="6" t="inlineStr">
        <s:is>
          <s:t>Tax rate (for WACC)</s:t>
        </s:is>
      </s:c>
      <s:c r="C35" s="22">
        <s:f>D13</s:f>
        <s:v>0.2</s:v>
      </s:c>
    </s:row>
    <s:row r="36">
      <s:c r="A36" s="6" t="inlineStr">
        <s:is>
          <s:t>After-tax cost of debt</s:t>
        </s:is>
      </s:c>
      <s:c r="C36" s="21">
        <s:f>C34*(1-C35)</s:f>
        <s:v>0.044000000000000004</s:v>
      </s:c>
    </s:row>
    <s:row r="37">
      <s:c r="A37" s="6" t="inlineStr">
        <s:is>
          <s:t>Current share price</s:t>
        </s:is>
      </s:c>
      <s:c r="C37" s="23" t="n">
        <s:v>37.03</s:v>
      </s:c>
      <s:c r="I37" t="inlineStr">
        <s:is>
          <s:t>Source: NKE closing price, Sept 9, 2026.</s:t>
        </s:is>
      </s:c>
    </s:row>
    <s:row r="38">
      <s:c r="A38" s="6" t="inlineStr">
        <s:is>
          <s:t>Diluted shares outstanding, mm</s:t>
        </s:is>
      </s:c>
      <s:c r="C38" s="24" t="n">
        <s:v>1487.6</s:v>
      </s:c>
      <s:c r="I38" t="inlineStr">
        <s:is>
          <s:t>Source: NKE FY2025 Form 10-K, diluted weighted-average shares.</s:t>
        </s:is>
      </s:c>
    </s:row>
    <s:row r="39">
      <s:c r="A39" s="6" t="inlineStr">
        <s:is>
          <s:t>Market value of equity, $mm</s:t>
        </s:is>
      </s:c>
      <s:c r="C39" s="25">
        <s:f>C37*C38</s:f>
        <s:v>55085.828</s:v>
      </s:c>
    </s:row>
    <s:row r="40">
      <s:c r="A40" s="6" t="inlineStr">
        <s:is>
          <s:t>Market value of debt, $mm (book value proxy)</s:t>
        </s:is>
      </s:c>
      <s:c r="C40" s="26">
        <s:f>'Balance Sheet'!C19+'Balance Sheet'!C16</s:f>
        <s:v>8000.0</s:v>
      </s:c>
    </s:row>
    <s:row r="41">
      <s:c r="A41" s="6" t="inlineStr">
        <s:is>
          <s:t>Weight of equity</s:t>
        </s:is>
      </s:c>
      <s:c r="C41" s="27">
        <s:f>C39/(C39+C40)</s:f>
        <s:v>0.8731886343791826</s:v>
      </s:c>
    </s:row>
    <s:row r="42">
      <s:c r="A42" s="6" t="inlineStr">
        <s:is>
          <s:t>Weight of debt</s:t>
        </s:is>
      </s:c>
      <s:c r="C42" s="27">
        <s:f>1-C41</s:f>
        <s:v>0.1268113656208174</s:v>
      </s:c>
    </s:row>
    <s:row r="43">
      <s:c r="A43" s="4" t="inlineStr">
        <s:is>
          <s:t>WACC</s:t>
        </s:is>
      </s:c>
      <s:c r="C43" s="28">
        <s:f>C41*C33+C42*C36</s:f>
        <s:v>0.09984041316854873</s:v>
      </s:c>
    </s:row>
    <s:row r="45">
      <s:c r="A45" s="14" t="inlineStr">
        <s:is>
          <s:t>TERMINAL VALUE ASSUMPTIONS</s:t>
        </s:is>
      </s:c>
      <s:c r="B45" s="14" t="n"/>
      <s:c r="C45" s="14" t="n"/>
      <s:c r="D45" s="14" t="n"/>
      <s:c r="E45" s="14" t="n"/>
      <s:c r="F45" s="14" t="n"/>
      <s:c r="G45" s="14" t="n"/>
      <s:c r="H45" s="14" t="n"/>
      <s:c r="I45" s="14" t="n"/>
    </s:row>
    <s:row r="46">
      <s:c r="A46" s="6" t="inlineStr">
        <s:is>
          <s:t>Terminal (perpetuity) growth rate</s:t>
        </s:is>
      </s:c>
      <s:c r="C46" s="19" t="n">
        <s:v>0.025</s:v>
      </s:c>
      <s:c r="I46" t="inlineStr">
        <s:is>
          <s:t>Assumption: approx. long-run nominal GDP growth; standard Gordon-growth default.</s:t>
        </s:is>
      </s:c>
    </s:row>
    <s:row r="47">
      <s:c r="A47" s="6" t="inlineStr">
        <s:is>
          <s:t>Exit EV/EBITDA multiple (cross-check method)</s:t>
        </s:is>
      </s:c>
      <s:c r="C47" s="29" t="n">
        <s:v>11</s:v>
      </s:c>
      <s:c r="I47" t="inlineStr">
        <s:is>
          <s:t>Assumption: in line with large-cap branded footwear/apparel peer trading range (~9x-13x NTM EBITDA).</s:t>
        </s:is>
      </s:c>
    </s:row>
  </s:sheetData>
  <s:pageMargins left="0.75" right="0.75" top="1" bottom="1" header="0.5" footer="0.5"/>
</s:worksheet>
</file>

<file path=xl/worksheets/sheet3.xml><?xml version="1.0" encoding="utf-8"?>
<s:worksheet xmlns:r="http://schemas.openxmlformats.org/officeDocument/2006/relationships" xmlns:s="http://schemas.openxmlformats.org/spreadsheetml/2006/main">
  <s:sheetPr>
    <s:outlinePr summaryBelow="1" summaryRight="1"/>
    <s:pageSetUpPr/>
  </s:sheetPr>
  <s:dimension ref="A1:H35"/>
  <s:sheetViews>
    <s:sheetView workbookViewId="0">
      <s:pane xSplit="1" ySplit="3" topLeftCell="B4" activePane="bottomRight" state="frozen"/>
      <s:selection pane="topRight"/>
      <s:selection pane="bottomLeft"/>
      <s:selection pane="bottomRight" activeCell="A1" sqref="A1"/>
    </s:sheetView>
  </s:sheetViews>
  <s:sheetFormatPr baseColWidth="8" defaultRowHeight="15"/>
  <s:cols>
    <s:col width="40" customWidth="1" min="1" max="1"/>
    <s:col width="13" customWidth="1" min="2" max="2"/>
    <s:col width="13" customWidth="1" min="3" max="3"/>
    <s:col width="13" customWidth="1" min="4" max="4"/>
    <s:col width="13" customWidth="1" min="5" max="5"/>
    <s:col width="13" customWidth="1" min="6" max="6"/>
    <s:col width="13" customWidth="1" min="7" max="7"/>
    <s:col width="13" customWidth="1" min="8" max="8"/>
  </s:cols>
  <s:sheetData>
    <s:row r="1">
      <s:c r="A1" s="1" t="inlineStr">
        <s:is>
          <s:t>NIKE, Inc. — Consolidated Income Statement</s:t>
        </s:is>
      </s:c>
    </s:row>
    <s:row r="3">
      <s:c r="A3" s="11" t="inlineStr">
        <s:is>
          <s:t>$ in millions, except per-share data</s:t>
        </s:is>
      </s:c>
      <s:c r="B3" s="12" t="inlineStr">
        <s:is>
          <s:t>FY2024A</s:t>
        </s:is>
      </s:c>
      <s:c r="C3" s="12" t="inlineStr">
        <s:is>
          <s:t>FY2025A</s:t>
        </s:is>
      </s:c>
      <s:c r="D3" s="12" t="inlineStr">
        <s:is>
          <s:t>FY2026E</s:t>
        </s:is>
      </s:c>
      <s:c r="E3" s="12" t="inlineStr">
        <s:is>
          <s:t>FY2027E</s:t>
        </s:is>
      </s:c>
      <s:c r="F3" s="12" t="inlineStr">
        <s:is>
          <s:t>FY2028E</s:t>
        </s:is>
      </s:c>
      <s:c r="G3" s="12" t="inlineStr">
        <s:is>
          <s:t>FY2029E</s:t>
        </s:is>
      </s:c>
      <s:c r="H3" s="12" t="inlineStr">
        <s:is>
          <s:t>FY2030E</s:t>
        </s:is>
      </s:c>
    </s:row>
    <s:row r="4">
      <s:c r="B4" s="13" t="inlineStr">
        <s:is>
          <s:t>Actual</s:t>
        </s:is>
      </s:c>
      <s:c r="C4" s="13" t="inlineStr">
        <s:is>
          <s:t>Actual</s:t>
        </s:is>
      </s:c>
      <s:c r="D4" s="13" t="inlineStr">
        <s:is>
          <s:t>Projected</s:t>
        </s:is>
      </s:c>
      <s:c r="E4" s="13" t="inlineStr">
        <s:is>
          <s:t>Projected</s:t>
        </s:is>
      </s:c>
      <s:c r="F4" s="13" t="inlineStr">
        <s:is>
          <s:t>Projected</s:t>
        </s:is>
      </s:c>
      <s:c r="G4" s="13" t="inlineStr">
        <s:is>
          <s:t>Projected</s:t>
        </s:is>
      </s:c>
      <s:c r="H4" s="13" t="inlineStr">
        <s:is>
          <s:t>Projected</s:t>
        </s:is>
      </s:c>
    </s:row>
    <s:row r="6">
      <s:c r="A6" s="4" t="inlineStr">
        <s:is>
          <s:t>Revenue</s:t>
        </s:is>
      </s:c>
      <s:c r="B6" s="30" t="n">
        <s:v>51362</s:v>
      </s:c>
      <s:c r="C6" s="30" t="n">
        <s:v>46313</s:v>
      </s:c>
      <s:c r="D6" s="26">
        <s:f>C6*(1+Assumptions!D7)</s:f>
        <s:v>45849.87</s:v>
      </s:c>
      <s:c r="E6" s="26">
        <s:f>D6*(1+Assumptions!E7)</s:f>
        <s:v>47225.36610000001</s:v>
      </s:c>
      <s:c r="F6" s="26">
        <s:f>E6*(1+Assumptions!F7)</s:f>
        <s:v>49586.63440500001</s:v>
      </s:c>
      <s:c r="G6" s="26">
        <s:f>F6*(1+Assumptions!G7)</s:f>
        <s:v>52561.83246930002</s:v>
      </s:c>
      <s:c r="H6" s="26">
        <s:f>G6*(1+Assumptions!H7)</s:f>
        <s:v>55715.54241745802</s:v>
      </s:c>
    </s:row>
    <s:row r="7">
      <s:c r="A7" s="6" t="inlineStr">
        <s:is>
          <s:t xml:space="preserve">  % growth YoY</s:t>
        </s:is>
      </s:c>
      <s:c r="C7" s="31">
        <s:f>C6/B6-1</s:f>
        <s:v>-0.09830224679724309</s:v>
      </s:c>
      <s:c r="D7" s="22">
        <s:f>Assumptions!D7</s:f>
        <s:v>-0.01</s:v>
      </s:c>
      <s:c r="E7" s="22">
        <s:f>Assumptions!E7</s:f>
        <s:v>0.03</s:v>
      </s:c>
      <s:c r="F7" s="22">
        <s:f>Assumptions!F7</s:f>
        <s:v>0.05</s:v>
      </s:c>
      <s:c r="G7" s="22">
        <s:f>Assumptions!G7</s:f>
        <s:v>0.06</s:v>
      </s:c>
      <s:c r="H7" s="22">
        <s:f>Assumptions!H7</s:f>
        <s:v>0.06</s:v>
      </s:c>
    </s:row>
    <s:row r="9">
      <s:c r="A9" s="6" t="inlineStr">
        <s:is>
          <s:t>Cost of sales</s:t>
        </s:is>
      </s:c>
      <s:c r="B9" s="30" t="n">
        <s:v>28406</s:v>
      </s:c>
      <s:c r="C9" s="30" t="n">
        <s:v>26519</s:v>
      </s:c>
      <s:c r="D9" s="26">
        <s:f>D6*(1-Assumptions!D8)</s:f>
        <s:v>25905.17655</s:v>
      </s:c>
      <s:c r="E9" s="26">
        <s:f>E6*(1-Assumptions!E8)</s:f>
        <s:v>26446.205016000007</s:v>
      </s:c>
      <s:c r="F9" s="26">
        <s:f>F6*(1-Assumptions!F8)</s:f>
        <s:v>27520.582094775003</s:v>
      </s:c>
      <s:c r="G9" s="26">
        <s:f>G6*(1-Assumptions!G8)</s:f>
        <s:v>28909.007858115012</s:v>
      </s:c>
      <s:c r="H9" s="26">
        <s:f>H6*(1-Assumptions!H8)</s:f>
        <s:v>30643.548329601912</s:v>
      </s:c>
    </s:row>
    <s:row r="10">
      <s:c r="A10" s="4" t="inlineStr">
        <s:is>
          <s:t>Gross profit</s:t>
        </s:is>
      </s:c>
      <s:c r="B10" s="32">
        <s:f>B6-B9</s:f>
        <s:v>22956.0</s:v>
      </s:c>
      <s:c r="C10" s="32">
        <s:f>C6-C9</s:f>
        <s:v>19794.0</s:v>
      </s:c>
      <s:c r="D10" s="32">
        <s:f>D6-D9</s:f>
        <s:v>19944.693450000002</s:v>
      </s:c>
      <s:c r="E10" s="32">
        <s:f>E6-E9</s:f>
        <s:v>20779.161084</s:v>
      </s:c>
      <s:c r="F10" s="32">
        <s:f>F6-F9</s:f>
        <s:v>22066.052310225008</s:v>
      </s:c>
      <s:c r="G10" s="32">
        <s:f>G6-G9</s:f>
        <s:v>23652.824611185006</s:v>
      </s:c>
      <s:c r="H10" s="32">
        <s:f>H6-H9</s:f>
        <s:v>25071.994087856106</s:v>
      </s:c>
    </s:row>
    <s:row r="11">
      <s:c r="A11" s="6" t="inlineStr">
        <s:is>
          <s:t xml:space="preserve">  Gross margin %</s:t>
        </s:is>
      </s:c>
      <s:c r="B11" s="27">
        <s:f>B10/B6</s:f>
        <s:v>0.4469452124138468</s:v>
      </s:c>
      <s:c r="C11" s="27">
        <s:f>C10/C6</s:f>
        <s:v>0.42739619545268065</s:v>
      </s:c>
      <s:c r="D11" s="27">
        <s:f>D10/D6</s:f>
        <s:v>0.43500000000000005</s:v>
      </s:c>
      <s:c r="E11" s="27">
        <s:f>E10/E6</s:f>
        <s:v>0.43999999999999995</s:v>
      </s:c>
      <s:c r="F11" s="27">
        <s:f>F10/F6</s:f>
        <s:v>0.44500000000000006</s:v>
      </s:c>
      <s:c r="G11" s="27">
        <s:f>G10/G6</s:f>
        <s:v>0.44999999999999996</s:v>
      </s:c>
      <s:c r="H11" s="27">
        <s:f>H10/H6</s:f>
        <s:v>0.44999999999999996</s:v>
      </s:c>
    </s:row>
    <s:row r="13">
      <s:c r="A13" s="6" t="inlineStr">
        <s:is>
          <s:t>Demand creation expense</s:t>
        </s:is>
      </s:c>
      <s:c r="B13" s="30" t="n">
        <s:v>4285</s:v>
      </s:c>
      <s:c r="C13" s="30" t="n">
        <s:v>4689</s:v>
      </s:c>
      <s:c r="D13" s="33">
        <s:f>D6*0.29</s:f>
        <s:v>13296.4623</s:v>
      </s:c>
      <s:c r="E13" s="33">
        <s:f>E6*0.29</s:f>
        <s:v>13695.356169</s:v>
      </s:c>
      <s:c r="F13" s="33">
        <s:f>F6*0.29</s:f>
        <s:v>14380.123977450003</s:v>
      </s:c>
      <s:c r="G13" s="33">
        <s:f>G6*0.29</s:f>
        <s:v>15242.931416097004</s:v>
      </s:c>
      <s:c r="H13" s="33">
        <s:f>H6*0.29</s:f>
        <s:v>16157.507301062824</s:v>
      </s:c>
    </s:row>
    <s:row r="14">
      <s:c r="A14" s="6" t="inlineStr">
        <s:is>
          <s:t>Operating overhead expense</s:t>
        </s:is>
      </s:c>
      <s:c r="B14" s="30" t="n">
        <s:v>12291</s:v>
      </s:c>
      <s:c r="C14" s="30" t="n">
        <s:v>11399</s:v>
      </s:c>
      <s:c r="D14" s="26">
        <s:f>D6*Assumptions!D9-D13</s:f>
        <s:v>2292.4935000000023</s:v>
      </s:c>
      <s:c r="E14" s="26">
        <s:f>E6*Assumptions!E9-E13</s:f>
        <s:v>1889.0146440000026</s:v>
      </s:c>
      <s:c r="F14" s="26">
        <s:f>F6*Assumptions!F9-F13</s:f>
        <s:v>1735.5322041750023</s:v>
      </s:c>
      <s:c r="G14" s="26">
        <s:f>G6*Assumptions!G9-G13</s:f>
        <s:v>1576.8549740790022</s:v>
      </s:c>
      <s:c r="H14" s="26">
        <s:f>H6*Assumptions!H9-H13</s:f>
        <s:v>1671.4662725237413</s:v>
      </s:c>
    </s:row>
    <s:row r="15">
      <s:c r="A15" s="4" t="inlineStr">
        <s:is>
          <s:t>Total SG&amp;A</s:t>
        </s:is>
      </s:c>
      <s:c r="B15" s="32">
        <s:f>B13+B14</s:f>
        <s:v>16576.0</s:v>
      </s:c>
      <s:c r="C15" s="32">
        <s:f>C13+C14</s:f>
        <s:v>16088.0</s:v>
      </s:c>
      <s:c r="D15" s="32">
        <s:f>D13+D14</s:f>
        <s:v>15588.955800000002</s:v>
      </s:c>
      <s:c r="E15" s="32">
        <s:f>E13+E14</s:f>
        <s:v>15584.370813000003</s:v>
      </s:c>
      <s:c r="F15" s="32">
        <s:f>F13+F14</s:f>
        <s:v>16115.656181625005</s:v>
      </s:c>
      <s:c r="G15" s="32">
        <s:f>G13+G14</s:f>
        <s:v>16819.786390176007</s:v>
      </s:c>
      <s:c r="H15" s="32">
        <s:f>H13+H14</s:f>
        <s:v>17828.973573586565</s:v>
      </s:c>
    </s:row>
    <s:row r="16">
      <s:c r="A16" s="6" t="inlineStr">
        <s:is>
          <s:t xml:space="preserve">  SG&amp;A % of revenue</s:t>
        </s:is>
      </s:c>
      <s:c r="B16" s="27">
        <s:f>B15/B6</s:f>
        <s:v>0.3227288656983762</s:v>
      </s:c>
      <s:c r="C16" s="27">
        <s:f>C15/C6</s:f>
        <s:v>0.3473754669315311</s:v>
      </s:c>
      <s:c r="D16" s="27">
        <s:f>D15/D6</s:f>
        <s:v>0.34</s:v>
      </s:c>
      <s:c r="E16" s="27">
        <s:f>E15/E6</s:f>
        <s:v>0.33</s:v>
      </s:c>
      <s:c r="F16" s="27">
        <s:f>F15/F6</s:f>
        <s:v>0.325</s:v>
      </s:c>
      <s:c r="G16" s="27">
        <s:f>G15/G6</s:f>
        <s:v>0.32</s:v>
      </s:c>
      <s:c r="H16" s="27">
        <s:f>H15/H6</s:f>
        <s:v>0.32</s:v>
      </s:c>
    </s:row>
    <s:row r="18">
      <s:c r="A18" s="4" t="inlineStr">
        <s:is>
          <s:t>Operating income (EBIT)</s:t>
        </s:is>
      </s:c>
      <s:c r="B18" s="32">
        <s:f>B10-B15</s:f>
        <s:v>6380.0</s:v>
      </s:c>
      <s:c r="C18" s="32">
        <s:f>C10-C15</s:f>
        <s:v>3706.0</s:v>
      </s:c>
      <s:c r="D18" s="32">
        <s:f>D10-D15</s:f>
        <s:v>4355.737650000001</s:v>
      </s:c>
      <s:c r="E18" s="32">
        <s:f>E10-E15</s:f>
        <s:v>5194.790270999996</s:v>
      </s:c>
      <s:c r="F18" s="32">
        <s:f>F10-F15</s:f>
        <s:v>5950.396128600003</s:v>
      </s:c>
      <s:c r="G18" s="32">
        <s:f>G10-G15</s:f>
        <s:v>6833.038221008999</s:v>
      </s:c>
      <s:c r="H18" s="32">
        <s:f>H10-H15</s:f>
        <s:v>7243.020514269541</s:v>
      </s:c>
    </s:row>
    <s:row r="19">
      <s:c r="A19" s="6" t="inlineStr">
        <s:is>
          <s:t xml:space="preserve">  Operating margin %</s:t>
        </s:is>
      </s:c>
      <s:c r="B19" s="27">
        <s:f>B18/B6</s:f>
        <s:v>0.12421634671547058</s:v>
      </s:c>
      <s:c r="C19" s="27">
        <s:f>C18/C6</s:f>
        <s:v>0.08002072852114957</s:v>
      </s:c>
      <s:c r="D19" s="27">
        <s:f>D18/D6</s:f>
        <s:v>0.09500000000000001</s:v>
      </s:c>
      <s:c r="E19" s="27">
        <s:f>E18/E6</s:f>
        <s:v>0.1099999999999999</s:v>
      </s:c>
      <s:c r="F19" s="27">
        <s:f>F18/F6</s:f>
        <s:v>0.12000000000000004</s:v>
      </s:c>
      <s:c r="G19" s="27">
        <s:f>G18/G6</s:f>
        <s:v>0.12999999999999995</s:v>
      </s:c>
      <s:c r="H19" s="27">
        <s:f>H18/H6</s:f>
        <s:v>0.12999999999999998</s:v>
      </s:c>
    </s:row>
    <s:row r="21">
      <s:c r="A21" s="6" t="inlineStr">
        <s:is>
          <s:t>Interest expense</s:t>
        </s:is>
      </s:c>
      <s:c r="B21" s="30" t="n">
        <s:v>-286</s:v>
      </s:c>
      <s:c r="C21" s="30" t="n">
        <s:v>-300</s:v>
      </s:c>
      <s:c r="D21" s="26">
        <s:f>-'Debt Schedule'!D30</s:f>
        <s:v>0.0</s:v>
      </s:c>
      <s:c r="E21" s="26">
        <s:f>-'Debt Schedule'!E30</s:f>
        <s:v>0.0</s:v>
      </s:c>
      <s:c r="F21" s="26">
        <s:f>-'Debt Schedule'!F30</s:f>
        <s:v>0.0</s:v>
      </s:c>
      <s:c r="G21" s="26">
        <s:f>-'Debt Schedule'!G30</s:f>
        <s:v>0.0</s:v>
      </s:c>
      <s:c r="H21" s="26">
        <s:f>-'Debt Schedule'!H30</s:f>
        <s:v>0.0</s:v>
      </s:c>
    </s:row>
    <s:row r="22">
      <s:c r="A22" s="6" t="inlineStr">
        <s:is>
          <s:t>Interest income</s:t>
        </s:is>
      </s:c>
      <s:c r="B22" s="30" t="n">
        <s:v>428</s:v>
      </s:c>
      <s:c r="C22" s="30" t="n">
        <s:v>403</s:v>
      </s:c>
      <s:c r="D22" s="26">
        <s:f>'Debt Schedule'!D31</s:f>
        <s:v>414.0</s:v>
      </s:c>
      <s:c r="E22" s="26">
        <s:f>'Debt Schedule'!E31</s:f>
        <s:v>413.9546135936525</s:v>
      </s:c>
      <s:c r="F22" s="26">
        <s:f>'Debt Schedule'!F31</s:f>
        <s:v>412.0825327921156</s:v>
      </s:c>
      <s:c r="G22" s="26">
        <s:f>'Debt Schedule'!G31</s:f>
        <s:v>415.7612775922963</s:v>
      </s:c>
      <s:c r="H22" s="26">
        <s:f>'Debt Schedule'!H31</s:f>
        <s:v>430.722027051953</s:v>
      </s:c>
    </s:row>
    <s:row r="23">
      <s:c r="A23" s="6" t="inlineStr">
        <s:is>
          <s:t>Other income (expense), net</s:t>
        </s:is>
      </s:c>
      <s:c r="B23" s="30" t="n">
        <s:v>176</s:v>
      </s:c>
      <s:c r="C23" s="30" t="n">
        <s:v>76</s:v>
      </s:c>
      <s:c r="D23" s="30" t="n">
        <s:v>0</s:v>
      </s:c>
      <s:c r="E23" s="30" t="n">
        <s:v>0</s:v>
      </s:c>
      <s:c r="F23" s="30" t="n">
        <s:v>0</s:v>
      </s:c>
      <s:c r="G23" s="30" t="n">
        <s:v>0</s:v>
      </s:c>
      <s:c r="H23" s="30" t="n">
        <s:v>0</s:v>
      </s:c>
    </s:row>
    <s:row r="24">
      <s:c r="A24" s="4" t="inlineStr">
        <s:is>
          <s:t>Pretax income</s:t>
        </s:is>
      </s:c>
      <s:c r="B24" s="32">
        <s:f>B18+B21+B22+B23</s:f>
        <s:v>6698.0</s:v>
      </s:c>
      <s:c r="C24" s="32">
        <s:f>C18+C21+C22+C23</s:f>
        <s:v>3885.0</s:v>
      </s:c>
      <s:c r="D24" s="32">
        <s:f>D18+D21+D22+D23</s:f>
        <s:v>4769.737650000001</s:v>
      </s:c>
      <s:c r="E24" s="32">
        <s:f>E18+E21+E22+E23</s:f>
        <s:v>5608.744884593649</s:v>
      </s:c>
      <s:c r="F24" s="32">
        <s:f>F18+F21+F22+F23</s:f>
        <s:v>6362.478661392119</s:v>
      </s:c>
      <s:c r="G24" s="32">
        <s:f>G18+G21+G22+G23</s:f>
        <s:v>7248.799498601295</s:v>
      </s:c>
      <s:c r="H24" s="32">
        <s:f>H18+H21+H22+H23</s:f>
        <s:v>7673.742541321494</s:v>
      </s:c>
    </s:row>
    <s:row r="25">
      <s:c r="A25" s="6" t="inlineStr">
        <s:is>
          <s:t>Income tax expense</s:t>
        </s:is>
      </s:c>
      <s:c r="B25" s="30" t="n">
        <s:v>-998</s:v>
      </s:c>
      <s:c r="C25" s="30" t="n">
        <s:v>-664</s:v>
      </s:c>
      <s:c r="D25" s="26">
        <s:f>-D24*Assumptions!D13</s:f>
        <s:v>-953.9475300000003</s:v>
      </s:c>
      <s:c r="E25" s="26">
        <s:f>-E24*Assumptions!E13</s:f>
        <s:v>-1121.7489769187298</s:v>
      </s:c>
      <s:c r="F25" s="26">
        <s:f>-F24*Assumptions!F13</s:f>
        <s:v>-1272.495732278424</s:v>
      </s:c>
      <s:c r="G25" s="26">
        <s:f>-G24*Assumptions!G13</s:f>
        <s:v>-1449.7598997202592</s:v>
      </s:c>
      <s:c r="H25" s="26">
        <s:f>-H24*Assumptions!H13</s:f>
        <s:v>-1534.7485082642988</s:v>
      </s:c>
    </s:row>
    <s:row r="26">
      <s:c r="A26" s="6" t="inlineStr">
        <s:is>
          <s:t xml:space="preserve">  Effective tax rate %</s:t>
        </s:is>
      </s:c>
      <s:c r="B26" s="27">
        <s:f>-B25/B24</s:f>
        <s:v>0.148999701403404</s:v>
      </s:c>
      <s:c r="C26" s="27">
        <s:f>-C25/C24</s:f>
        <s:v>0.1709137709137709</s:v>
      </s:c>
      <s:c r="D26" s="27">
        <s:f>-D25/D24</s:f>
        <s:v>0.2</s:v>
      </s:c>
      <s:c r="E26" s="27">
        <s:f>-E25/E24</s:f>
        <s:v>0.2</s:v>
      </s:c>
      <s:c r="F26" s="27">
        <s:f>-F25/F24</s:f>
        <s:v>0.20000000000000004</s:v>
      </s:c>
      <s:c r="G26" s="27">
        <s:f>-G25/G24</s:f>
        <s:v>0.2</s:v>
      </s:c>
      <s:c r="H26" s="27">
        <s:f>-H25/H24</s:f>
        <s:v>0.2</s:v>
      </s:c>
    </s:row>
    <s:row r="27">
      <s:c r="A27" s="4" t="inlineStr">
        <s:is>
          <s:t>Net income</s:t>
        </s:is>
      </s:c>
      <s:c r="B27" s="34">
        <s:f>B24+B25</s:f>
        <s:v>5700.0</s:v>
      </s:c>
      <s:c r="C27" s="34">
        <s:f>C24+C25</s:f>
        <s:v>3221.0</s:v>
      </s:c>
      <s:c r="D27" s="34">
        <s:f>D24+D25</s:f>
        <s:v>3815.7901200000006</s:v>
      </s:c>
      <s:c r="E27" s="34">
        <s:f>E24+E25</s:f>
        <s:v>4486.995907674919</s:v>
      </s:c>
      <s:c r="F27" s="34">
        <s:f>F24+F25</s:f>
        <s:v>5089.982929113695</s:v>
      </s:c>
      <s:c r="G27" s="34">
        <s:f>G24+G25</s:f>
        <s:v>5799.039598881036</s:v>
      </s:c>
      <s:c r="H27" s="34">
        <s:f>H24+H25</s:f>
        <s:v>6138.994033057195</s:v>
      </s:c>
    </s:row>
    <s:row r="28">
      <s:c r="A28" s="6" t="inlineStr">
        <s:is>
          <s:t xml:space="preserve">  Net margin %</s:t>
        </s:is>
      </s:c>
      <s:c r="B28" s="27">
        <s:f>B27/B6</s:f>
        <s:v>0.11097698687745804</s:v>
      </s:c>
      <s:c r="C28" s="27">
        <s:f>C27/C6</s:f>
        <s:v>0.06954850689871095</s:v>
      </s:c>
      <s:c r="D28" s="27">
        <s:f>D27/D6</s:f>
        <s:v>0.08322357555212262</s:v>
      </s:c>
      <s:c r="E28" s="27">
        <s:f>E27/E6</s:f>
        <s:v>0.09501241129975949</s:v>
      </s:c>
      <s:c r="F28" s="27">
        <s:f>F27/F6</s:f>
        <s:v>0.10264828396178573</s:v>
      </s:c>
      <s:c r="G28" s="27">
        <s:f>G27/G6</s:f>
        <s:v>0.11032795712113162</s:v>
      </s:c>
      <s:c r="H28" s="27">
        <s:f>H27/H6</s:f>
        <s:v>0.11018458704143551</s:v>
      </s:c>
    </s:row>
    <s:row r="30">
      <s:c r="A30" s="6" t="inlineStr">
        <s:is>
          <s:t>Diluted weighted-average shares, mm</s:t>
        </s:is>
      </s:c>
      <s:c r="B30" s="35" t="n">
        <s:v>1510</s:v>
      </s:c>
      <s:c r="C30" s="35" t="n">
        <s:v>1487.6</s:v>
      </s:c>
      <s:c r="D30" s="17">
        <s:f>C30+'Cash Flow Statement'!D19/Assumptions!$C$37</s:f>
        <s:v>1420.087172562787</s:v>
      </s:c>
      <s:c r="E30" s="17">
        <s:f>D30+'Cash Flow Statement'!E19/Assumptions!$C$37</s:f>
        <s:v>1352.574345125574</s:v>
      </s:c>
      <s:c r="F30" s="17">
        <s:f>E30+'Cash Flow Statement'!F19/Assumptions!$C$37</s:f>
        <s:v>1285.061517688361</s:v>
      </s:c>
      <s:c r="G30" s="17">
        <s:f>F30+'Cash Flow Statement'!G19/Assumptions!$C$37</s:f>
        <s:v>1217.548690251148</s:v>
      </s:c>
      <s:c r="H30" s="17">
        <s:f>G30+'Cash Flow Statement'!H19/Assumptions!$C$37</s:f>
        <s:v>1150.035862813935</s:v>
      </s:c>
    </s:row>
    <s:row r="31">
      <s:c r="A31" s="4" t="inlineStr">
        <s:is>
          <s:t>Diluted EPS</s:t>
        </s:is>
      </s:c>
      <s:c r="B31" s="36">
        <s:f>B27/B30</s:f>
        <s:v>3.774834437086093</s:v>
      </s:c>
      <s:c r="C31" s="36">
        <s:f>C27/C30</s:f>
        <s:v>2.1652325894057545</s:v>
      </s:c>
      <s:c r="D31" s="36">
        <s:f>D27/D30</s:f>
        <s:v>2.6870111875693965</s:v>
      </s:c>
      <s:c r="E31" s="36">
        <s:f>E27/E30</s:f>
        <s:v>3.317374696514995</s:v>
      </s:c>
      <s:c r="F31" s="36">
        <s:f>F27/F30</s:f>
        <s:v>3.9608865871805383</s:v>
      </s:c>
      <s:c r="G31" s="36">
        <s:f>G27/G30</s:f>
        <s:v>4.762881062017198</s:v>
      </s:c>
      <s:c r="H31" s="36">
        <s:f>H27/H30</s:f>
        <s:v>5.33808921231044</s:v>
      </s:c>
    </s:row>
    <s:row r="33">
      <s:c r="A33" s="6" t="inlineStr">
        <s:is>
          <s:t>Memo: D&amp;A</s:t>
        </s:is>
      </s:c>
      <s:c r="B33" s="30" t="n">
        <s:v>787</s:v>
      </s:c>
      <s:c r="C33" s="30" t="n">
        <s:v>775</s:v>
      </s:c>
      <s:c r="D33" s="26">
        <s:f>D6*Assumptions!D10</s:f>
        <s:v>779.44779</s:v>
      </s:c>
      <s:c r="E33" s="26">
        <s:f>E6*Assumptions!E10</s:f>
        <s:v>802.8312237000001</s:v>
      </s:c>
      <s:c r="F33" s="26">
        <s:f>F6*Assumptions!F10</s:f>
        <s:v>842.9727848850002</s:v>
      </s:c>
      <s:c r="G33" s="26">
        <s:f>G6*Assumptions!G10</s:f>
        <s:v>893.5511519781004</s:v>
      </s:c>
      <s:c r="H33" s="26">
        <s:f>H6*Assumptions!H10</s:f>
        <s:v>947.1642210967864</s:v>
      </s:c>
    </s:row>
    <s:row r="34">
      <s:c r="A34" s="4" t="inlineStr">
        <s:is>
          <s:t>Memo: EBITDA</s:t>
        </s:is>
      </s:c>
      <s:c r="B34" s="32">
        <s:f>B18+B33</s:f>
        <s:v>7167.0</s:v>
      </s:c>
      <s:c r="C34" s="32">
        <s:f>C18+C33</s:f>
        <s:v>4481.0</s:v>
      </s:c>
      <s:c r="D34" s="32">
        <s:f>D18+D33</s:f>
        <s:v>5135.185440000001</s:v>
      </s:c>
      <s:c r="E34" s="32">
        <s:f>E18+E33</s:f>
        <s:v>5997.621494699996</s:v>
      </s:c>
      <s:c r="F34" s="32">
        <s:f>F18+F33</s:f>
        <s:v>6793.368913485003</s:v>
      </s:c>
      <s:c r="G34" s="32">
        <s:f>G18+G33</s:f>
        <s:v>7726.5893729870995</s:v>
      </s:c>
      <s:c r="H34" s="32">
        <s:f>H18+H33</s:f>
        <s:v>8190.184735366328</s:v>
      </s:c>
    </s:row>
    <s:row r="35">
      <s:c r="A35" s="6" t="inlineStr">
        <s:is>
          <s:t xml:space="preserve">  EBITDA margin %</s:t>
        </s:is>
      </s:c>
      <s:c r="B35" s="27">
        <s:f>B34/B6</s:f>
        <s:v>0.13953895876328803</s:v>
      </s:c>
      <s:c r="C35" s="27">
        <s:f>C34/C6</s:f>
        <s:v>0.09675469090752056</s:v>
      </s:c>
      <s:c r="D35" s="27">
        <s:f>D34/D6</s:f>
        <s:v>0.11200000000000002</s:v>
      </s:c>
      <s:c r="E35" s="27">
        <s:f>E34/E6</s:f>
        <s:v>0.1269999999999999</s:v>
      </s:c>
      <s:c r="F35" s="27">
        <s:f>F34/F6</s:f>
        <s:v>0.13700000000000004</s:v>
      </s:c>
      <s:c r="G35" s="27">
        <s:f>G34/G6</s:f>
        <s:v>0.14699999999999994</s:v>
      </s:c>
      <s:c r="H35" s="27">
        <s:f>H34/H6</s:f>
        <s:v>0.147</s:v>
      </s:c>
    </s:row>
  </s:sheetData>
  <s:pageMargins left="0.75" right="0.75" top="1" bottom="1" header="0.5" footer="0.5"/>
  <s:legacyDrawing r:id="anysvml"/>
</s:worksheet>
</file>

<file path=xl/worksheets/sheet4.xml><?xml version="1.0" encoding="utf-8"?>
<s:worksheet xmlns:r="http://schemas.openxmlformats.org/officeDocument/2006/relationships" xmlns:s="http://schemas.openxmlformats.org/spreadsheetml/2006/main">
  <s:sheetPr>
    <s:outlinePr summaryBelow="1" summaryRight="1"/>
    <s:pageSetUpPr/>
  </s:sheetPr>
  <s:dimension ref="A1:H38"/>
  <s:sheetViews>
    <s:sheetView workbookViewId="0">
      <s:pane xSplit="1" ySplit="3" topLeftCell="B4" activePane="bottomRight" state="frozen"/>
      <s:selection pane="topRight"/>
      <s:selection pane="bottomLeft"/>
      <s:selection pane="bottomRight" activeCell="A1" sqref="A1"/>
    </s:sheetView>
  </s:sheetViews>
  <s:sheetFormatPr baseColWidth="8" defaultRowHeight="15"/>
  <s:cols>
    <s:col width="46" customWidth="1" min="1" max="1"/>
    <s:col width="13" customWidth="1" min="2" max="2"/>
    <s:col width="13" customWidth="1" min="3" max="3"/>
    <s:col width="13" customWidth="1" min="4" max="4"/>
    <s:col width="13" customWidth="1" min="5" max="5"/>
    <s:col width="13" customWidth="1" min="6" max="6"/>
    <s:col width="13" customWidth="1" min="7" max="7"/>
    <s:col width="13" customWidth="1" min="8" max="8"/>
  </s:cols>
  <s:sheetData>
    <s:row r="1">
      <s:c r="A1" s="1" t="inlineStr">
        <s:is>
          <s:t>NIKE, Inc. — Consolidated Balance Sheet</s:t>
        </s:is>
      </s:c>
    </s:row>
    <s:row r="3">
      <s:c r="A3" s="11" t="inlineStr">
        <s:is>
          <s:t>$ in millions, except per-share data</s:t>
        </s:is>
      </s:c>
      <s:c r="B3" s="12" t="inlineStr">
        <s:is>
          <s:t>FY2024A</s:t>
        </s:is>
      </s:c>
      <s:c r="C3" s="12" t="inlineStr">
        <s:is>
          <s:t>FY2025A</s:t>
        </s:is>
      </s:c>
      <s:c r="D3" s="12" t="inlineStr">
        <s:is>
          <s:t>FY2026E</s:t>
        </s:is>
      </s:c>
      <s:c r="E3" s="12" t="inlineStr">
        <s:is>
          <s:t>FY2027E</s:t>
        </s:is>
      </s:c>
      <s:c r="F3" s="12" t="inlineStr">
        <s:is>
          <s:t>FY2028E</s:t>
        </s:is>
      </s:c>
      <s:c r="G3" s="12" t="inlineStr">
        <s:is>
          <s:t>FY2029E</s:t>
        </s:is>
      </s:c>
      <s:c r="H3" s="12" t="inlineStr">
        <s:is>
          <s:t>FY2030E</s:t>
        </s:is>
      </s:c>
    </s:row>
    <s:row r="4">
      <s:c r="B4" s="13" t="inlineStr">
        <s:is>
          <s:t>Actual</s:t>
        </s:is>
      </s:c>
      <s:c r="C4" s="13" t="inlineStr">
        <s:is>
          <s:t>Actual</s:t>
        </s:is>
      </s:c>
      <s:c r="D4" s="13" t="inlineStr">
        <s:is>
          <s:t>Projected</s:t>
        </s:is>
      </s:c>
      <s:c r="E4" s="13" t="inlineStr">
        <s:is>
          <s:t>Projected</s:t>
        </s:is>
      </s:c>
      <s:c r="F4" s="13" t="inlineStr">
        <s:is>
          <s:t>Projected</s:t>
        </s:is>
      </s:c>
      <s:c r="G4" s="13" t="inlineStr">
        <s:is>
          <s:t>Projected</s:t>
        </s:is>
      </s:c>
      <s:c r="H4" s="13" t="inlineStr">
        <s:is>
          <s:t>Projected</s:t>
        </s:is>
      </s:c>
    </s:row>
    <s:row r="6">
      <s:c r="A6" s="6" t="inlineStr">
        <s:is>
          <s:t>Cash, cash equivalents &amp; short-term investments</s:t>
        </s:is>
      </s:c>
      <s:c r="B6" s="30" t="n">
        <s:v>11600</s:v>
      </s:c>
      <s:c r="C6" s="30" t="n">
        <s:v>9200</s:v>
      </s:c>
      <s:c r="D6" s="26">
        <s:f>'Debt Schedule'!D27</s:f>
        <s:v>9198.991413192278</s:v>
      </s:c>
      <s:c r="E6" s="26">
        <s:f>'Debt Schedule'!E27</s:f>
        <s:v>9157.38961760257</s:v>
      </s:c>
      <s:c r="F6" s="26">
        <s:f>'Debt Schedule'!F27</s:f>
        <s:v>9239.13950205103</s:v>
      </s:c>
      <s:c r="G6" s="26">
        <s:f>'Debt Schedule'!G27</s:f>
        <s:v>9571.60060115451</s:v>
      </s:c>
      <s:c r="H6" s="26">
        <s:f>'Debt Schedule'!H27</s:f>
        <s:v>10030.67480444244</s:v>
      </s:c>
    </s:row>
    <s:row r="7">
      <s:c r="A7" s="6" t="inlineStr">
        <s:is>
          <s:t>Accounts receivable, net</s:t>
        </s:is>
      </s:c>
      <s:c r="B7" s="30" t="n">
        <s:v>4427</s:v>
      </s:c>
      <s:c r="C7" s="30" t="n">
        <s:v>4717</s:v>
      </s:c>
      <s:c r="D7" s="26">
        <s:f>'Income Statement'!D6*Assumptions!D18/365</s:f>
        <s:v>4669.830000000001</s:v>
      </s:c>
      <s:c r="E7" s="26">
        <s:f>'Income Statement'!E6*Assumptions!E18/365</s:f>
        <s:v>4809.924900000001</s:v>
      </s:c>
      <s:c r="F7" s="26">
        <s:f>'Income Statement'!F6*Assumptions!F18/365</s:f>
        <s:v>5050.421145000001</s:v>
      </s:c>
      <s:c r="G7" s="26">
        <s:f>'Income Statement'!G6*Assumptions!G18/365</s:f>
        <s:v>5353.446413700002</s:v>
      </s:c>
      <s:c r="H7" s="26">
        <s:f>'Income Statement'!H6*Assumptions!H18/365</s:f>
        <s:v>5674.653198522002</s:v>
      </s:c>
    </s:row>
    <s:row r="8">
      <s:c r="A8" s="6" t="inlineStr">
        <s:is>
          <s:t>Inventories</s:t>
        </s:is>
      </s:c>
      <s:c r="B8" s="30" t="n">
        <s:v>7519</s:v>
      </s:c>
      <s:c r="C8" s="30" t="n">
        <s:v>7489</s:v>
      </s:c>
      <s:c r="D8" s="26">
        <s:f>'Income Statement'!D9*Assumptions!D19/365</s:f>
        <s:v>7315.655461478563</s:v>
      </s:c>
      <s:c r="E8" s="26">
        <s:f>'Income Statement'!E9*Assumptions!E19/365</s:f>
        <s:v>7468.442602089976</s:v>
      </s:c>
      <s:c r="F8" s="26">
        <s:f>'Income Statement'!F9*Assumptions!F19/365</s:f>
        <s:v>7771.84808279988</s:v>
      </s:c>
      <s:c r="G8" s="26">
        <s:f>'Income Statement'!G9*Assumptions!G19/365</s:f>
        <s:v>8163.941319409606</s:v>
      </s:c>
      <s:c r="H8" s="26">
        <s:f>'Income Statement'!H9*Assumptions!H19/365</s:f>
        <s:v>8653.777798574181</s:v>
      </s:c>
    </s:row>
    <s:row r="9">
      <s:c r="A9" s="6" t="inlineStr">
        <s:is>
          <s:t>Prepaid expenses &amp; other current assets</s:t>
        </s:is>
      </s:c>
      <s:c r="B9" s="30" t="n">
        <s:v>2200</s:v>
      </s:c>
      <s:c r="C9" s="30" t="n">
        <s:v>2250</s:v>
      </s:c>
      <s:c r="D9" s="33">
        <s:f>C9</s:f>
        <s:v>2250.0</s:v>
      </s:c>
      <s:c r="E9" s="33">
        <s:f>D9</s:f>
        <s:v>2250.0</s:v>
      </s:c>
      <s:c r="F9" s="33">
        <s:f>E9</s:f>
        <s:v>2250.0</s:v>
      </s:c>
      <s:c r="G9" s="33">
        <s:f>F9</s:f>
        <s:v>2250.0</s:v>
      </s:c>
      <s:c r="H9" s="33">
        <s:f>G9</s:f>
        <s:v>2250.0</s:v>
      </s:c>
    </s:row>
    <s:row r="10">
      <s:c r="A10" s="4" t="inlineStr">
        <s:is>
          <s:t>Total current assets</s:t>
        </s:is>
      </s:c>
      <s:c r="B10" s="32">
        <s:f>SUM(B6:B9)</s:f>
        <s:v>25746.0</s:v>
      </s:c>
      <s:c r="C10" s="32">
        <s:f>SUM(C6:C9)</s:f>
        <s:v>23656.0</s:v>
      </s:c>
      <s:c r="D10" s="32">
        <s:f>SUM(D6:D9)</s:f>
        <s:v>23434.476874670843</s:v>
      </s:c>
      <s:c r="E10" s="32">
        <s:f>SUM(E6:E9)</s:f>
        <s:v>23685.75711969255</s:v>
      </s:c>
      <s:c r="F10" s="32">
        <s:f>SUM(F6:F9)</s:f>
        <s:v>24311.40872985091</s:v>
      </s:c>
      <s:c r="G10" s="32">
        <s:f>SUM(G6:G9)</s:f>
        <s:v>25338.98833426412</s:v>
      </s:c>
      <s:c r="H10" s="32">
        <s:f>SUM(H6:H9)</s:f>
        <s:v>26609.105801538622</s:v>
      </s:c>
    </s:row>
    <s:row r="11">
      <s:c r="A11" s="6" t="inlineStr">
        <s:is>
          <s:t>Property, plant &amp; equipment, net</s:t>
        </s:is>
      </s:c>
      <s:c r="B11" s="30" t="n">
        <s:v>5100</s:v>
      </s:c>
      <s:c r="C11" s="30" t="n">
        <s:v>5300</s:v>
      </s:c>
      <s:c r="D11" s="26">
        <s:f>C11-'Cash Flow Statement'!D15-'Income Statement'!D33</s:f>
        <s:v>5345.84987</s:v>
      </s:c>
      <s:c r="E11" s="26">
        <s:f>D11-'Cash Flow Statement'!E15-'Income Statement'!E33</s:f>
        <s:v>5393.0752361</s:v>
      </s:c>
      <s:c r="F11" s="26">
        <s:f>E11-'Cash Flow Statement'!F15-'Income Statement'!F33</s:f>
        <s:v>5442.6618705050005</s:v>
      </s:c>
      <s:c r="G11" s="26">
        <s:f>F11-'Cash Flow Statement'!G15-'Income Statement'!G33</s:f>
        <s:v>5495.2237029743</s:v>
      </s:c>
      <s:c r="H11" s="26">
        <s:f>G11-'Cash Flow Statement'!H15-'Income Statement'!H33</s:f>
        <s:v>5550.939245391758</s:v>
      </s:c>
    </s:row>
    <s:row r="12">
      <s:c r="A12" s="6" t="inlineStr">
        <s:is>
          <s:t>Operating lease ROU assets, goodwill &amp; other non-current assets</s:t>
        </s:is>
      </s:c>
      <s:c r="B12" s="33">
        <s:f>B36-B10-B11</s:f>
        <s:v>7264.0</s:v>
      </s:c>
      <s:c r="C12" s="33">
        <s:f>C36-C10-C11</s:f>
        <s:v>7623.0</s:v>
      </s:c>
      <s:c r="D12" s="33">
        <s:f>C12</s:f>
        <s:v>7623.0</s:v>
      </s:c>
      <s:c r="E12" s="33">
        <s:f>D12</s:f>
        <s:v>7623.0</s:v>
      </s:c>
      <s:c r="F12" s="33">
        <s:f>E12</s:f>
        <s:v>7623.0</s:v>
      </s:c>
      <s:c r="G12" s="33">
        <s:f>F12</s:f>
        <s:v>7623.0</s:v>
      </s:c>
      <s:c r="H12" s="33">
        <s:f>G12</s:f>
        <s:v>7623.0</s:v>
      </s:c>
    </s:row>
    <s:row r="13">
      <s:c r="A13" s="4" t="inlineStr">
        <s:is>
          <s:t>Total assets</s:t>
        </s:is>
      </s:c>
      <s:c r="B13" s="34">
        <s:f>B10+B11+B12</s:f>
        <s:v>38110.0</s:v>
      </s:c>
      <s:c r="C13" s="34">
        <s:f>C10+C11+C12</s:f>
        <s:v>36579.0</s:v>
      </s:c>
      <s:c r="D13" s="34">
        <s:f>D10+D11+D12</s:f>
        <s:v>36403.32674467084</s:v>
      </s:c>
      <s:c r="E13" s="34">
        <s:f>E10+E11+E12</s:f>
        <s:v>36701.83235579255</s:v>
      </s:c>
      <s:c r="F13" s="34">
        <s:f>F10+F11+F12</s:f>
        <s:v>37377.07060035591</s:v>
      </s:c>
      <s:c r="G13" s="34">
        <s:f>G10+G11+G12</s:f>
        <s:v>38457.21203723842</s:v>
      </s:c>
      <s:c r="H13" s="34">
        <s:f>H10+H11+H12</s:f>
        <s:v>39783.045046930376</s:v>
      </s:c>
    </s:row>
    <s:row r="15">
      <s:c r="A15" s="6" t="inlineStr">
        <s:is>
          <s:t>Accounts payable</s:t>
        </s:is>
      </s:c>
      <s:c r="B15" s="30" t="n">
        <s:v>2851</s:v>
      </s:c>
      <s:c r="C15" s="30" t="n">
        <s:v>3479</s:v>
      </s:c>
      <s:c r="D15" s="26">
        <s:f>'Income Statement'!D9*Assumptions!D20/365</s:f>
        <s:v>3398.47314067084</s:v>
      </s:c>
      <s:c r="E15" s="26">
        <s:f>'Income Statement'!E9*Assumptions!E20/365</s:f>
        <s:v>3469.4501018388337</s:v>
      </s:c>
      <s:c r="F15" s="26">
        <s:f>'Income Statement'!F9*Assumptions!F20/365</s:f>
        <s:v>3610.3965122260356</s:v>
      </s:c>
      <s:c r="G15" s="26">
        <s:f>'Income Statement'!G9*Assumptions!G20/365</s:f>
        <s:v>3792.542642572576</s:v>
      </s:c>
      <s:c r="H15" s="26">
        <s:f>'Income Statement'!H9*Assumptions!H20/365</s:f>
        <s:v>4020.09520112693</s:v>
      </s:c>
    </s:row>
    <s:row r="16">
      <s:c r="A16" s="6" t="inlineStr">
        <s:is>
          <s:t>Current portion of long-term debt</s:t>
        </s:is>
      </s:c>
      <s:c r="B16" s="30" t="n">
        <s:v>1000</s:v>
      </s:c>
      <s:c r="C16" s="30" t="n">
        <s:v>0</s:v>
      </s:c>
      <s:c r="D16" s="33">
        <s:f>C16</s:f>
        <s:v>0.0</s:v>
      </s:c>
      <s:c r="E16" s="33">
        <s:f>D16</s:f>
        <s:v>0.0</s:v>
      </s:c>
      <s:c r="F16" s="33">
        <s:f>E16</s:f>
        <s:v>0.0</s:v>
      </s:c>
      <s:c r="G16" s="33">
        <s:f>F16</s:f>
        <s:v>0.0</s:v>
      </s:c>
      <s:c r="H16" s="33">
        <s:f>G16</s:f>
        <s:v>0.0</s:v>
      </s:c>
    </s:row>
    <s:row r="17">
      <s:c r="A17" s="6" t="inlineStr">
        <s:is>
          <s:t>Accrued liabilities &amp; other current liabilities</s:t>
        </s:is>
      </s:c>
      <s:c r="B17" s="33">
        <s:f>B38-B15-B16</s:f>
        <s:v>6742.0</s:v>
      </s:c>
      <s:c r="C17" s="33">
        <s:f>C38-C15-C16</s:f>
        <s:v>7087.0</s:v>
      </s:c>
      <s:c r="D17" s="33">
        <s:f>C17</s:f>
        <s:v>7087.0</s:v>
      </s:c>
      <s:c r="E17" s="33">
        <s:f>D17</s:f>
        <s:v>7087.0</s:v>
      </s:c>
      <s:c r="F17" s="33">
        <s:f>E17</s:f>
        <s:v>7087.0</s:v>
      </s:c>
      <s:c r="G17" s="33">
        <s:f>F17</s:f>
        <s:v>7087.0</s:v>
      </s:c>
      <s:c r="H17" s="33">
        <s:f>G17</s:f>
        <s:v>7087.0</s:v>
      </s:c>
    </s:row>
    <s:row r="18">
      <s:c r="A18" s="4" t="inlineStr">
        <s:is>
          <s:t>Total current liabilities</s:t>
        </s:is>
      </s:c>
      <s:c r="B18" s="32">
        <s:f>SUM(B15:B17)</s:f>
        <s:v>10593.0</s:v>
      </s:c>
      <s:c r="C18" s="32">
        <s:f>SUM(C15:C17)</s:f>
        <s:v>10566.0</s:v>
      </s:c>
      <s:c r="D18" s="32">
        <s:f>SUM(D15:D17)</s:f>
        <s:v>10485.47314067084</s:v>
      </s:c>
      <s:c r="E18" s="32">
        <s:f>SUM(E15:E17)</s:f>
        <s:v>10556.450101838833</s:v>
      </s:c>
      <s:c r="F18" s="32">
        <s:f>SUM(F15:F17)</s:f>
        <s:v>10697.396512226036</s:v>
      </s:c>
      <s:c r="G18" s="32">
        <s:f>SUM(G15:G17)</s:f>
        <s:v>10879.542642572576</s:v>
      </s:c>
      <s:c r="H18" s="32">
        <s:f>SUM(H15:H17)</s:f>
        <s:v>11107.09520112693</s:v>
      </s:c>
    </s:row>
    <s:row r="19">
      <s:c r="A19" s="6" t="inlineStr">
        <s:is>
          <s:t>Long-term debt</s:t>
        </s:is>
      </s:c>
      <s:c r="B19" s="30" t="n">
        <s:v>7900</s:v>
      </s:c>
      <s:c r="C19" s="30" t="n">
        <s:v>8000</s:v>
      </s:c>
      <s:c r="D19" s="26">
        <s:f>'Debt Schedule'!D9</s:f>
        <s:v>8000.0</s:v>
      </s:c>
      <s:c r="E19" s="26">
        <s:f>'Debt Schedule'!E9</s:f>
        <s:v>8000.0</s:v>
      </s:c>
      <s:c r="F19" s="26">
        <s:f>'Debt Schedule'!F9</s:f>
        <s:v>8000.0</s:v>
      </s:c>
      <s:c r="G19" s="26">
        <s:f>'Debt Schedule'!G9</s:f>
        <s:v>8000.0</s:v>
      </s:c>
      <s:c r="H19" s="26">
        <s:f>'Debt Schedule'!H9</s:f>
        <s:v>8000.0</s:v>
      </s:c>
    </s:row>
    <s:row r="20">
      <s:c r="A20" s="6" t="inlineStr">
        <s:is>
          <s:t>Revolving credit facility</s:t>
        </s:is>
      </s:c>
      <s:c r="B20" s="30" t="n">
        <s:v>0</s:v>
      </s:c>
      <s:c r="C20" s="30" t="n">
        <s:v>0</s:v>
      </s:c>
      <s:c r="D20" s="26">
        <s:f>'Debt Schedule'!D16</s:f>
        <s:v>0.0</s:v>
      </s:c>
      <s:c r="E20" s="26">
        <s:f>'Debt Schedule'!E16</s:f>
        <s:v>0.0</s:v>
      </s:c>
      <s:c r="F20" s="26">
        <s:f>'Debt Schedule'!F16</s:f>
        <s:v>0.0</s:v>
      </s:c>
      <s:c r="G20" s="26">
        <s:f>'Debt Schedule'!G16</s:f>
        <s:v>0.0</s:v>
      </s:c>
      <s:c r="H20" s="26">
        <s:f>'Debt Schedule'!H16</s:f>
        <s:v>0.0</s:v>
      </s:c>
    </s:row>
    <s:row r="21">
      <s:c r="A21" s="6" t="inlineStr">
        <s:is>
          <s:t>Operating lease liabilities, deferred tax &amp; other LT liabilities</s:t>
        </s:is>
      </s:c>
      <s:c r="B21" s="33">
        <s:f>B37-B18-B19-B20</s:f>
        <s:v>5187.0</s:v>
      </s:c>
      <s:c r="C21" s="33">
        <s:f>C37-C18-C19-C20</s:f>
        <s:v>4800.0</s:v>
      </s:c>
      <s:c r="D21" s="33">
        <s:f>C21</s:f>
        <s:v>4800.0</s:v>
      </s:c>
      <s:c r="E21" s="33">
        <s:f>D21</s:f>
        <s:v>4800.0</s:v>
      </s:c>
      <s:c r="F21" s="33">
        <s:f>E21</s:f>
        <s:v>4800.0</s:v>
      </s:c>
      <s:c r="G21" s="33">
        <s:f>F21</s:f>
        <s:v>4800.0</s:v>
      </s:c>
      <s:c r="H21" s="33">
        <s:f>G21</s:f>
        <s:v>4800.0</s:v>
      </s:c>
    </s:row>
    <s:row r="22">
      <s:c r="A22" s="4" t="inlineStr">
        <s:is>
          <s:t>Total liabilities</s:t>
        </s:is>
      </s:c>
      <s:c r="B22" s="32">
        <s:f>B18+B19+B20+B21</s:f>
        <s:v>23680.0</s:v>
      </s:c>
      <s:c r="C22" s="32">
        <s:f>C18+C19+C20+C21</s:f>
        <s:v>23366.0</s:v>
      </s:c>
      <s:c r="D22" s="32">
        <s:f>D18+D19+D20+D21</s:f>
        <s:v>23285.473140670838</s:v>
      </s:c>
      <s:c r="E22" s="32">
        <s:f>E18+E19+E20+E21</s:f>
        <s:v>23356.450101838833</s:v>
      </s:c>
      <s:c r="F22" s="32">
        <s:f>F18+F19+F20+F21</s:f>
        <s:v>23497.396512226034</s:v>
      </s:c>
      <s:c r="G22" s="32">
        <s:f>G18+G19+G20+G21</s:f>
        <s:v>23679.542642572575</s:v>
      </s:c>
      <s:c r="H22" s="32">
        <s:f>H18+H19+H20+H21</s:f>
        <s:v>23907.09520112693</s:v>
      </s:c>
    </s:row>
    <s:row r="24">
      <s:c r="A24" s="4" t="inlineStr">
        <s:is>
          <s:t>Total shareholders' equity</s:t>
        </s:is>
      </s:c>
      <s:c r="B24" s="30" t="n">
        <s:v>14430</s:v>
      </s:c>
      <s:c r="C24" s="30" t="n">
        <s:v>13213</s:v>
      </s:c>
      <s:c r="D24" s="26">
        <s:f>C24+'Income Statement'!D27+'Cash Flow Statement'!D18+'Cash Flow Statement'!D19+'Cash Flow Statement'!D8</s:f>
        <s:v>13117.853604000002</s:v>
      </s:c>
      <s:c r="E24" s="26">
        <s:f>D24+'Income Statement'!E27+'Cash Flow Statement'!E18+'Cash Flow Statement'!E19+'Cash Flow Statement'!E8</s:f>
        <s:v>13345.382253953716</s:v>
      </s:c>
      <s:c r="F24" s="26">
        <s:f>E24+'Income Statement'!F27+'Cash Flow Statement'!F18+'Cash Flow Statement'!F19+'Cash Flow Statement'!F8</s:f>
        <s:v>13879.674088129877</s:v>
      </s:c>
      <s:c r="G24" s="26">
        <s:f>F24+'Income Statement'!G27+'Cash Flow Statement'!G18+'Cash Flow Statement'!G19+'Cash Flow Statement'!G8</s:f>
        <s:v>14777.669394665843</s:v>
      </s:c>
      <s:c r="H24" s="26">
        <s:f>G24+'Income Statement'!H27+'Cash Flow Statement'!H18+'Cash Flow Statement'!H19+'Cash Flow Statement'!H8</s:f>
        <s:v>15875.949845803452</s:v>
      </s:c>
    </s:row>
    <s:row r="25">
      <s:c r="A25" s="4" t="inlineStr">
        <s:is>
          <s:t>Total liabilities &amp; shareholders' equity</s:t>
        </s:is>
      </s:c>
      <s:c r="B25" s="34">
        <s:f>B22+B24</s:f>
        <s:v>38110.0</s:v>
      </s:c>
      <s:c r="C25" s="34">
        <s:f>C22+C24</s:f>
        <s:v>36579.0</s:v>
      </s:c>
      <s:c r="D25" s="34">
        <s:f>D22+D24</s:f>
        <s:v>36403.32674467084</s:v>
      </s:c>
      <s:c r="E25" s="34">
        <s:f>E22+E24</s:f>
        <s:v>36701.83235579255</s:v>
      </s:c>
      <s:c r="F25" s="34">
        <s:f>F22+F24</s:f>
        <s:v>37377.07060035591</s:v>
      </s:c>
      <s:c r="G25" s="34">
        <s:f>G22+G24</s:f>
        <s:v>38457.212037238416</s:v>
      </s:c>
      <s:c r="H25" s="34">
        <s:f>H22+H24</s:f>
        <s:v>39783.04504693038</s:v>
      </s:c>
    </s:row>
    <s:row r="26">
      <s:c r="A26" s="4" t="inlineStr">
        <s:is>
          <s:t>Balance check (Assets − Liabilities &amp; Equity)</s:t>
        </s:is>
      </s:c>
      <s:c r="B26" s="32">
        <s:f>B13-B25</s:f>
        <s:v>0.0</s:v>
      </s:c>
      <s:c r="C26" s="32">
        <s:f>C13-C25</s:f>
        <s:v>0.0</s:v>
      </s:c>
      <s:c r="D26" s="32">
        <s:f>D13-D25</s:f>
        <s:v>0.0</s:v>
      </s:c>
      <s:c r="E26" s="32">
        <s:f>E13-E25</s:f>
        <s:v>0.0</s:v>
      </s:c>
      <s:c r="F26" s="32">
        <s:f>F13-F25</s:f>
        <s:v>0.0</s:v>
      </s:c>
      <s:c r="G26" s="32">
        <s:f>G13-G25</s:f>
        <s:v>7.275957614183426e-12</s:v>
      </s:c>
      <s:c r="H26" s="32">
        <s:f>H13-H25</s:f>
        <s:v>-7.275957614183426e-12</s:v>
      </s:c>
    </s:row>
    <s:row r="36">
      <s:c r="A36" s="6" t="inlineStr">
        <s:is>
          <s:t>Memo: Total assets per Form 10-K (historical)</s:t>
        </s:is>
      </s:c>
      <s:c r="B36" s="30" t="n">
        <s:v>38110</s:v>
      </s:c>
      <s:c r="C36" s="30" t="n">
        <s:v>36579</s:v>
      </s:c>
      <s:c r="D36" s="25" t="n"/>
      <s:c r="E36" s="25" t="n"/>
      <s:c r="F36" s="25" t="n"/>
      <s:c r="G36" s="25" t="n"/>
      <s:c r="H36" s="25" t="n"/>
    </s:row>
    <s:row r="37">
      <s:c r="A37" s="6" t="inlineStr">
        <s:is>
          <s:t>Memo: Total liabilities per Form 10-K (historical, derived as Assets − Equity)</s:t>
        </s:is>
      </s:c>
      <s:c r="B37" s="33" t="n">
        <s:v>23680</s:v>
      </s:c>
      <s:c r="C37" s="33" t="n">
        <s:v>23366</s:v>
      </s:c>
      <s:c r="D37" s="25" t="n"/>
      <s:c r="E37" s="25" t="n"/>
      <s:c r="F37" s="25" t="n"/>
      <s:c r="G37" s="25" t="n"/>
      <s:c r="H37" s="25" t="n"/>
    </s:row>
    <s:row r="38">
      <s:c r="A38" s="6" t="inlineStr">
        <s:is>
          <s:t>Memo: Total current liabilities per Form 10-K (historical)</s:t>
        </s:is>
      </s:c>
      <s:c r="B38" s="30" t="n">
        <s:v>10593</s:v>
      </s:c>
      <s:c r="C38" s="30" t="n">
        <s:v>10566</s:v>
      </s:c>
      <s:c r="D38" s="25" t="n"/>
      <s:c r="E38" s="25" t="n"/>
      <s:c r="F38" s="25" t="n"/>
      <s:c r="G38" s="25" t="n"/>
      <s:c r="H38" s="25" t="n"/>
    </s:row>
  </s:sheetData>
  <s:pageMargins left="0.75" right="0.75" top="1" bottom="1" header="0.5" footer="0.5"/>
  <s:legacyDrawing r:id="anysvml"/>
</s:worksheet>
</file>

<file path=xl/worksheets/sheet5.xml><?xml version="1.0" encoding="utf-8"?>
<s:worksheet xmlns:r="http://schemas.openxmlformats.org/officeDocument/2006/relationships" xmlns:s="http://schemas.openxmlformats.org/spreadsheetml/2006/main">
  <s:sheetPr>
    <s:outlinePr summaryBelow="1" summaryRight="1"/>
    <s:pageSetUpPr/>
  </s:sheetPr>
  <s:dimension ref="A1:H27"/>
  <s:sheetViews>
    <s:sheetView workbookViewId="0">
      <s:pane xSplit="1" ySplit="3" topLeftCell="B4" activePane="bottomRight" state="frozen"/>
      <s:selection pane="topRight"/>
      <s:selection pane="bottomLeft"/>
      <s:selection pane="bottomRight" activeCell="A1" sqref="A1"/>
    </s:sheetView>
  </s:sheetViews>
  <s:sheetFormatPr baseColWidth="8" defaultRowHeight="15"/>
  <s:cols>
    <s:col width="46" customWidth="1" min="1" max="1"/>
    <s:col width="13" customWidth="1" min="2" max="2"/>
    <s:col width="13" customWidth="1" min="3" max="3"/>
    <s:col width="13" customWidth="1" min="4" max="4"/>
    <s:col width="13" customWidth="1" min="5" max="5"/>
    <s:col width="13" customWidth="1" min="6" max="6"/>
    <s:col width="13" customWidth="1" min="7" max="7"/>
    <s:col width="13" customWidth="1" min="8" max="8"/>
  </s:cols>
  <s:sheetData>
    <s:row r="1">
      <s:c r="A1" s="1" t="inlineStr">
        <s:is>
          <s:t>NIKE, Inc. — Consolidated Statement of Cash Flows</s:t>
        </s:is>
      </s:c>
    </s:row>
    <s:row r="3">
      <s:c r="A3" s="11" t="inlineStr">
        <s:is>
          <s:t>$ in millions, except per-share data</s:t>
        </s:is>
      </s:c>
      <s:c r="B3" s="12" t="inlineStr">
        <s:is>
          <s:t>FY2024A</s:t>
        </s:is>
      </s:c>
      <s:c r="C3" s="12" t="inlineStr">
        <s:is>
          <s:t>FY2025A</s:t>
        </s:is>
      </s:c>
      <s:c r="D3" s="12" t="inlineStr">
        <s:is>
          <s:t>FY2026E</s:t>
        </s:is>
      </s:c>
      <s:c r="E3" s="12" t="inlineStr">
        <s:is>
          <s:t>FY2027E</s:t>
        </s:is>
      </s:c>
      <s:c r="F3" s="12" t="inlineStr">
        <s:is>
          <s:t>FY2028E</s:t>
        </s:is>
      </s:c>
      <s:c r="G3" s="12" t="inlineStr">
        <s:is>
          <s:t>FY2029E</s:t>
        </s:is>
      </s:c>
      <s:c r="H3" s="12" t="inlineStr">
        <s:is>
          <s:t>FY2030E</s:t>
        </s:is>
      </s:c>
    </s:row>
    <s:row r="4">
      <s:c r="B4" s="13" t="inlineStr">
        <s:is>
          <s:t>Actual</s:t>
        </s:is>
      </s:c>
      <s:c r="C4" s="13" t="inlineStr">
        <s:is>
          <s:t>Actual</s:t>
        </s:is>
      </s:c>
      <s:c r="D4" s="13" t="inlineStr">
        <s:is>
          <s:t>Projected</s:t>
        </s:is>
      </s:c>
      <s:c r="E4" s="13" t="inlineStr">
        <s:is>
          <s:t>Projected</s:t>
        </s:is>
      </s:c>
      <s:c r="F4" s="13" t="inlineStr">
        <s:is>
          <s:t>Projected</s:t>
        </s:is>
      </s:c>
      <s:c r="G4" s="13" t="inlineStr">
        <s:is>
          <s:t>Projected</s:t>
        </s:is>
      </s:c>
      <s:c r="H4" s="13" t="inlineStr">
        <s:is>
          <s:t>Projected</s:t>
        </s:is>
      </s:c>
    </s:row>
    <s:row r="5">
      <s:c r="A5" s="14" t="inlineStr">
        <s:is>
          <s:t>CASH FLOW FROM OPERATIONS</s:t>
        </s:is>
      </s:c>
      <s:c r="B5" s="14" t="n"/>
      <s:c r="C5" s="14" t="n"/>
      <s:c r="D5" s="14" t="n"/>
      <s:c r="E5" s="14" t="n"/>
      <s:c r="F5" s="14" t="n"/>
      <s:c r="G5" s="14" t="n"/>
      <s:c r="H5" s="14" t="n"/>
    </s:row>
    <s:row r="6">
      <s:c r="A6" s="6" t="inlineStr">
        <s:is>
          <s:t>Net income</s:t>
        </s:is>
      </s:c>
      <s:c r="B6" s="26">
        <s:f>'Income Statement'!B27</s:f>
        <s:v>5700.0</s:v>
      </s:c>
      <s:c r="C6" s="26">
        <s:f>'Income Statement'!C27</s:f>
        <s:v>3221.0</s:v>
      </s:c>
      <s:c r="D6" s="26">
        <s:f>'Income Statement'!D27</s:f>
        <s:v>3815.7901200000006</s:v>
      </s:c>
      <s:c r="E6" s="26">
        <s:f>'Income Statement'!E27</s:f>
        <s:v>4486.995907674919</s:v>
      </s:c>
      <s:c r="F6" s="26">
        <s:f>'Income Statement'!F27</s:f>
        <s:v>5089.982929113695</s:v>
      </s:c>
      <s:c r="G6" s="26">
        <s:f>'Income Statement'!G27</s:f>
        <s:v>5799.039598881036</s:v>
      </s:c>
      <s:c r="H6" s="26">
        <s:f>'Income Statement'!H27</s:f>
        <s:v>6138.994033057195</s:v>
      </s:c>
    </s:row>
    <s:row r="7">
      <s:c r="A7" s="6" t="inlineStr">
        <s:is>
          <s:t xml:space="preserve">  + Depreciation &amp; amortization</s:t>
        </s:is>
      </s:c>
      <s:c r="B7" s="26">
        <s:f>'Income Statement'!B33</s:f>
        <s:v>787.0</s:v>
      </s:c>
      <s:c r="C7" s="26">
        <s:f>'Income Statement'!C33</s:f>
        <s:v>775.0</s:v>
      </s:c>
      <s:c r="D7" s="26">
        <s:f>'Income Statement'!D33</s:f>
        <s:v>779.44779</s:v>
      </s:c>
      <s:c r="E7" s="26">
        <s:f>'Income Statement'!E33</s:f>
        <s:v>802.8312237000001</s:v>
      </s:c>
      <s:c r="F7" s="26">
        <s:f>'Income Statement'!F33</s:f>
        <s:v>842.9727848850002</s:v>
      </s:c>
      <s:c r="G7" s="26">
        <s:f>'Income Statement'!G33</s:f>
        <s:v>893.5511519781004</s:v>
      </s:c>
      <s:c r="H7" s="26">
        <s:f>'Income Statement'!H33</s:f>
        <s:v>947.1642210967864</s:v>
      </s:c>
    </s:row>
    <s:row r="8">
      <s:c r="A8" s="6" t="inlineStr">
        <s:is>
          <s:t xml:space="preserve">  + Stock-based compensation</s:t>
        </s:is>
      </s:c>
      <s:c r="B8" s="30" t="n">
        <s:v>700</s:v>
      </s:c>
      <s:c r="C8" s="30" t="n">
        <s:v>750</s:v>
      </s:c>
      <s:c r="D8" s="26">
        <s:f>'Income Statement'!D6*Assumptions!D12</s:f>
        <s:v>687.74805</s:v>
      </s:c>
      <s:c r="E8" s="26">
        <s:f>'Income Statement'!E6*Assumptions!E12</s:f>
        <s:v>708.3804915000001</s:v>
      </s:c>
      <s:c r="F8" s="26">
        <s:f>'Income Statement'!F6*Assumptions!F12</s:f>
        <s:v>743.7995160750002</s:v>
      </s:c>
      <s:c r="G8" s="26">
        <s:f>'Income Statement'!G6*Assumptions!G12</s:f>
        <s:v>788.4274870395002</s:v>
      </s:c>
      <s:c r="H8" s="26">
        <s:f>'Income Statement'!H6*Assumptions!H12</s:f>
        <s:v>835.7331362618703</s:v>
      </s:c>
    </s:row>
    <s:row r="9">
      <s:c r="A9" s="6" t="inlineStr">
        <s:is>
          <s:t xml:space="preserve">  (Increase) / decrease in accounts receivable</s:t>
        </s:is>
      </s:c>
      <s:c r="B9" s="37" t="inlineStr">
        <s:is>
          <s:t>n/a</s:t>
        </s:is>
      </s:c>
      <s:c r="C9" s="37" t="inlineStr">
        <s:is>
          <s:t>n/a</s:t>
        </s:is>
      </s:c>
      <s:c r="D9" s="26">
        <s:f>-('Balance Sheet'!D7-'Balance Sheet'!C7)</s:f>
        <s:v>47.16999999999916</s:v>
      </s:c>
      <s:c r="E9" s="26">
        <s:f>-('Balance Sheet'!E7-'Balance Sheet'!D7)</s:f>
        <s:v>-140.09490000000005</s:v>
      </s:c>
      <s:c r="F9" s="26">
        <s:f>-('Balance Sheet'!F7-'Balance Sheet'!E7)</s:f>
        <s:v>-240.49624500000027</s:v>
      </s:c>
      <s:c r="G9" s="26">
        <s:f>-('Balance Sheet'!G7-'Balance Sheet'!F7)</s:f>
        <s:v>-303.0252687000011</s:v>
      </s:c>
      <s:c r="H9" s="26">
        <s:f>-('Balance Sheet'!H7-'Balance Sheet'!G7)</s:f>
        <s:v>-321.20678482199946</s:v>
      </s:c>
    </s:row>
    <s:row r="10">
      <s:c r="A10" s="6" t="inlineStr">
        <s:is>
          <s:t xml:space="preserve">  (Increase) / decrease in inventories</s:t>
        </s:is>
      </s:c>
      <s:c r="B10" s="37" t="inlineStr">
        <s:is>
          <s:t>n/a</s:t>
        </s:is>
      </s:c>
      <s:c r="C10" s="37" t="inlineStr">
        <s:is>
          <s:t>n/a</s:t>
        </s:is>
      </s:c>
      <s:c r="D10" s="26">
        <s:f>-('Balance Sheet'!D8-'Balance Sheet'!C8)</s:f>
        <s:v>173.34453852143724</s:v>
      </s:c>
      <s:c r="E10" s="26">
        <s:f>-('Balance Sheet'!E8-'Balance Sheet'!D8)</s:f>
        <s:v>-152.78714061141363</s:v>
      </s:c>
      <s:c r="F10" s="26">
        <s:f>-('Balance Sheet'!F8-'Balance Sheet'!E8)</s:f>
        <s:v>-303.4054807099037</s:v>
      </s:c>
      <s:c r="G10" s="26">
        <s:f>-('Balance Sheet'!G8-'Balance Sheet'!F8)</s:f>
        <s:v>-392.09323660972586</s:v>
      </s:c>
      <s:c r="H10" s="26">
        <s:f>-('Balance Sheet'!H8-'Balance Sheet'!G8)</s:f>
        <s:v>-489.8364791645754</s:v>
      </s:c>
    </s:row>
    <s:row r="11">
      <s:c r="A11" s="6" t="inlineStr">
        <s:is>
          <s:t xml:space="preserve">  Increase / (decrease) in accounts payable</s:t>
        </s:is>
      </s:c>
      <s:c r="B11" s="37" t="inlineStr">
        <s:is>
          <s:t>n/a</s:t>
        </s:is>
      </s:c>
      <s:c r="C11" s="37" t="inlineStr">
        <s:is>
          <s:t>n/a</s:t>
        </s:is>
      </s:c>
      <s:c r="D11" s="26">
        <s:f>('Balance Sheet'!D15-'Balance Sheet'!C15)</s:f>
        <s:v>-80.52685932915983</s:v>
      </s:c>
      <s:c r="E11" s="26">
        <s:f>('Balance Sheet'!E15-'Balance Sheet'!D15)</s:f>
        <s:v>70.97696116799352</s:v>
      </s:c>
      <s:c r="F11" s="26">
        <s:f>('Balance Sheet'!F15-'Balance Sheet'!E15)</s:f>
        <s:v>140.94641038720192</s:v>
      </s:c>
      <s:c r="G11" s="26">
        <s:f>('Balance Sheet'!G15-'Balance Sheet'!F15)</s:f>
        <s:v>182.1461303465403</s:v>
      </s:c>
      <s:c r="H11" s="26">
        <s:f>('Balance Sheet'!H15-'Balance Sheet'!G15)</s:f>
        <s:v>227.55255855435416</s:v>
      </s:c>
    </s:row>
    <s:row r="12">
      <s:c r="A12" s="6" t="inlineStr">
        <s:is>
          <s:t xml:space="preserve">  Other working capital changes</s:t>
        </s:is>
      </s:c>
      <s:c r="B12" s="37" t="inlineStr">
        <s:is>
          <s:t>n/a</s:t>
        </s:is>
      </s:c>
      <s:c r="C12" s="37" t="inlineStr">
        <s:is>
          <s:t>n/a</s:t>
        </s:is>
      </s:c>
      <s:c r="D12" s="33" t="n">
        <s:v>0</s:v>
      </s:c>
      <s:c r="E12" s="33" t="n">
        <s:v>0</s:v>
      </s:c>
      <s:c r="F12" s="33" t="n">
        <s:v>0</s:v>
      </s:c>
      <s:c r="G12" s="33" t="n">
        <s:v>0</s:v>
      </s:c>
      <s:c r="H12" s="33" t="n">
        <s:v>0</s:v>
      </s:c>
    </s:row>
    <s:row r="13">
      <s:c r="A13" s="4" t="inlineStr">
        <s:is>
          <s:t>Cash flow from operations (CFO)</s:t>
        </s:is>
      </s:c>
      <s:c r="B13" s="30" t="n">
        <s:v>7429</s:v>
      </s:c>
      <s:c r="C13" s="30" t="n">
        <s:v>3698</s:v>
      </s:c>
      <s:c r="D13" s="32">
        <s:f>SUM(D6:D12)</s:f>
        <s:v>5422.973639192278</s:v>
      </s:c>
      <s:c r="E13" s="32">
        <s:f>SUM(E6:E12)</s:f>
        <s:v>5776.302543431499</s:v>
      </s:c>
      <s:c r="F13" s="32">
        <s:f>SUM(F6:F12)</s:f>
        <s:v>6273.799914750993</s:v>
      </s:c>
      <s:c r="G13" s="32">
        <s:f>SUM(G6:G12)</s:f>
        <s:v>6968.04586293545</s:v>
      </s:c>
      <s:c r="H13" s="32">
        <s:f>SUM(H6:H12)</s:f>
        <s:v>7338.400684983631</s:v>
      </s:c>
    </s:row>
    <s:row r="14">
      <s:c r="A14" s="14" t="inlineStr">
        <s:is>
          <s:t>CASH FLOW FROM INVESTING</s:t>
        </s:is>
      </s:c>
      <s:c r="B14" s="14" t="n"/>
      <s:c r="C14" s="14" t="n"/>
      <s:c r="D14" s="14" t="n"/>
      <s:c r="E14" s="14" t="n"/>
      <s:c r="F14" s="14" t="n"/>
      <s:c r="G14" s="14" t="n"/>
      <s:c r="H14" s="14" t="n"/>
    </s:row>
    <s:row r="15">
      <s:c r="A15" s="6" t="inlineStr">
        <s:is>
          <s:t>Capital expenditures</s:t>
        </s:is>
      </s:c>
      <s:c r="B15" s="30" t="n">
        <s:v>-750</s:v>
      </s:c>
      <s:c r="C15" s="30" t="n">
        <s:v>-700</s:v>
      </s:c>
      <s:c r="D15" s="26">
        <s:f>-'Income Statement'!D6*Assumptions!D11</s:f>
        <s:v>-825.29766</s:v>
      </s:c>
      <s:c r="E15" s="26">
        <s:f>-'Income Statement'!E6*Assumptions!E11</s:f>
        <s:v>-850.0565898000001</s:v>
      </s:c>
      <s:c r="F15" s="26">
        <s:f>-'Income Statement'!F6*Assumptions!F11</s:f>
        <s:v>-892.5594192900002</s:v>
      </s:c>
      <s:c r="G15" s="26">
        <s:f>-'Income Statement'!G6*Assumptions!G11</s:f>
        <s:v>-946.1129844474002</s:v>
      </s:c>
      <s:c r="H15" s="26">
        <s:f>-'Income Statement'!H6*Assumptions!H11</s:f>
        <s:v>-1002.8797635142442</s:v>
      </s:c>
    </s:row>
    <s:row r="16">
      <s:c r="A16" s="4" t="inlineStr">
        <s:is>
          <s:t>Cash flow from investing (CFI)</s:t>
        </s:is>
      </s:c>
      <s:c r="B16" s="30" t="n">
        <s:v>894</s:v>
      </s:c>
      <s:c r="C16" s="30" t="n">
        <s:v>-275</s:v>
      </s:c>
      <s:c r="D16" s="33">
        <s:f>D15</s:f>
        <s:v>-825.29766</s:v>
      </s:c>
      <s:c r="E16" s="33">
        <s:f>E15</s:f>
        <s:v>-850.0565898000001</s:v>
      </s:c>
      <s:c r="F16" s="33">
        <s:f>F15</s:f>
        <s:v>-892.5594192900002</s:v>
      </s:c>
      <s:c r="G16" s="33">
        <s:f>G15</s:f>
        <s:v>-946.1129844474002</s:v>
      </s:c>
      <s:c r="H16" s="33">
        <s:f>H15</s:f>
        <s:v>-1002.8797635142442</s:v>
      </s:c>
    </s:row>
    <s:row r="17">
      <s:c r="A17" s="14" t="inlineStr">
        <s:is>
          <s:t>CASH FLOW FROM FINANCING</s:t>
        </s:is>
      </s:c>
      <s:c r="B17" s="14" t="n"/>
      <s:c r="C17" s="14" t="n"/>
      <s:c r="D17" s="14" t="n"/>
      <s:c r="E17" s="14" t="n"/>
      <s:c r="F17" s="14" t="n"/>
      <s:c r="G17" s="14" t="n"/>
      <s:c r="H17" s="14" t="n"/>
    </s:row>
    <s:row r="18">
      <s:c r="A18" s="6" t="inlineStr">
        <s:is>
          <s:t>Dividends paid</s:t>
        </s:is>
      </s:c>
      <s:c r="B18" s="30" t="n">
        <s:v>-2200</s:v>
      </s:c>
      <s:c r="C18" s="30" t="n">
        <s:v>-2300</s:v>
      </s:c>
      <s:c r="D18" s="26">
        <s:f>-'Income Statement'!D27*Assumptions!D14</s:f>
        <s:v>-2098.6845660000004</s:v>
      </s:c>
      <s:c r="E18" s="26">
        <s:f>-'Income Statement'!E27*Assumptions!E14</s:f>
        <s:v>-2467.847749221206</s:v>
      </s:c>
      <s:c r="F18" s="26">
        <s:f>-'Income Statement'!F27*Assumptions!F14</s:f>
        <s:v>-2799.4906110125326</s:v>
      </s:c>
      <s:c r="G18" s="26">
        <s:f>-'Income Statement'!G27*Assumptions!G14</s:f>
        <s:v>-3189.4717793845703</s:v>
      </s:c>
      <s:c r="H18" s="26">
        <s:f>-'Income Statement'!H27*Assumptions!H14</s:f>
        <s:v>-3376.4467181814575</s:v>
      </s:c>
    </s:row>
    <s:row r="19">
      <s:c r="A19" s="6" t="inlineStr">
        <s:is>
          <s:t>Share buybacks</s:t>
        </s:is>
      </s:c>
      <s:c r="B19" s="30" t="n">
        <s:v>-4300</s:v>
      </s:c>
      <s:c r="C19" s="30" t="n">
        <s:v>-3000</s:v>
      </s:c>
      <s:c r="D19" s="26">
        <s:f>-Assumptions!D15</s:f>
        <s:v>-2500.0</s:v>
      </s:c>
      <s:c r="E19" s="26">
        <s:f>-Assumptions!E15</s:f>
        <s:v>-2500.0</s:v>
      </s:c>
      <s:c r="F19" s="26">
        <s:f>-Assumptions!F15</s:f>
        <s:v>-2500.0</s:v>
      </s:c>
      <s:c r="G19" s="26">
        <s:f>-Assumptions!G15</s:f>
        <s:v>-2500.0</s:v>
      </s:c>
      <s:c r="H19" s="26">
        <s:f>-Assumptions!H15</s:f>
        <s:v>-2500.0</s:v>
      </s:c>
    </s:row>
    <s:row r="20">
      <s:c r="A20" s="6" t="inlineStr">
        <s:is>
          <s:t>Long-term debt issuance / (repayment)</s:t>
        </s:is>
      </s:c>
      <s:c r="B20" s="30" t="n">
        <s:v>0</s:v>
      </s:c>
      <s:c r="C20" s="30" t="n">
        <s:v>-900</s:v>
      </s:c>
      <s:c r="D20" s="33" t="n">
        <s:v>0</s:v>
      </s:c>
      <s:c r="E20" s="33" t="n">
        <s:v>0</s:v>
      </s:c>
      <s:c r="F20" s="33" t="n">
        <s:v>0</s:v>
      </s:c>
      <s:c r="G20" s="33" t="n">
        <s:v>0</s:v>
      </s:c>
      <s:c r="H20" s="33" t="n">
        <s:v>0</s:v>
      </s:c>
    </s:row>
    <s:row r="21">
      <s:c r="A21" s="6" t="inlineStr">
        <s:is>
          <s:t>Revolver draw / (paydown)</s:t>
        </s:is>
      </s:c>
      <s:c r="B21" s="30" t="n">
        <s:v>0</s:v>
      </s:c>
      <s:c r="C21" s="30" t="n">
        <s:v>0</s:v>
      </s:c>
      <s:c r="D21" s="26">
        <s:f>'Debt Schedule'!D15</s:f>
        <s:v>-0.0</s:v>
      </s:c>
      <s:c r="E21" s="26">
        <s:f>'Debt Schedule'!E15</s:f>
        <s:v>-0.0</s:v>
      </s:c>
      <s:c r="F21" s="26">
        <s:f>'Debt Schedule'!F15</s:f>
        <s:v>-0.0</s:v>
      </s:c>
      <s:c r="G21" s="26">
        <s:f>'Debt Schedule'!G15</s:f>
        <s:v>-0.0</s:v>
      </s:c>
      <s:c r="H21" s="26">
        <s:f>'Debt Schedule'!H15</s:f>
        <s:v>-0.0</s:v>
      </s:c>
    </s:row>
    <s:row r="22">
      <s:c r="A22" s="4" t="inlineStr">
        <s:is>
          <s:t>Cash flow from financing (CFF)</s:t>
        </s:is>
      </s:c>
      <s:c r="B22" s="32">
        <s:f>SUM(B18:B21)</s:f>
        <s:v>-6500.0</s:v>
      </s:c>
      <s:c r="C22" s="32">
        <s:f>SUM(C18:C21)</s:f>
        <s:v>-6200.0</s:v>
      </s:c>
      <s:c r="D22" s="32">
        <s:f>SUM(D18:D21)</s:f>
        <s:v>-4598.684566</s:v>
      </s:c>
      <s:c r="E22" s="32">
        <s:f>SUM(E18:E21)</s:f>
        <s:v>-4967.847749221206</s:v>
      </s:c>
      <s:c r="F22" s="32">
        <s:f>SUM(F18:F21)</s:f>
        <s:v>-5299.490611012532</s:v>
      </s:c>
      <s:c r="G22" s="32">
        <s:f>SUM(G18:G21)</s:f>
        <s:v>-5689.47177938457</s:v>
      </s:c>
      <s:c r="H22" s="32">
        <s:f>SUM(H18:H21)</s:f>
        <s:v>-5876.446718181458</s:v>
      </s:c>
    </s:row>
    <s:row r="24">
      <s:c r="A24" s="4" t="inlineStr">
        <s:is>
          <s:t>Net change in cash</s:t>
        </s:is>
      </s:c>
      <s:c r="B24" s="32">
        <s:f>B13+B16+B22</s:f>
        <s:v>1823.0</s:v>
      </s:c>
      <s:c r="C24" s="32">
        <s:f>C13+C16+C22</s:f>
        <s:v>-2777.0</s:v>
      </s:c>
      <s:c r="D24" s="32">
        <s:f>D13+D16+D22</s:f>
        <s:v>-1.0085868077221676</s:v>
      </s:c>
      <s:c r="E24" s="32">
        <s:f>E13+E16+E22</s:f>
        <s:v>-41.60179558970776</s:v>
      </s:c>
      <s:c r="F24" s="32">
        <s:f>F13+F16+F22</s:f>
        <s:v>81.74988444846076</s:v>
      </s:c>
      <s:c r="G24" s="32">
        <s:f>G13+G16+G22</s:f>
        <s:v>332.4610991034797</s:v>
      </s:c>
      <s:c r="H24" s="32">
        <s:f>H13+H16+H22</s:f>
        <s:v>459.07420328792887</s:v>
      </s:c>
    </s:row>
    <s:row r="25">
      <s:c r="A25" s="6" t="inlineStr">
        <s:is>
          <s:t>Beginning cash balance</s:t>
        </s:is>
      </s:c>
      <s:c r="B25" s="33">
        <s:f>B26-B24</s:f>
        <s:v>9777.0</s:v>
      </s:c>
      <s:c r="C25" s="33">
        <s:f>B26</s:f>
        <s:v>11600.0</s:v>
      </s:c>
      <s:c r="D25" s="33">
        <s:f>C26</s:f>
        <s:v>9200.0</s:v>
      </s:c>
      <s:c r="E25" s="33">
        <s:f>D26</s:f>
        <s:v>9198.991413192278</s:v>
      </s:c>
      <s:c r="F25" s="33">
        <s:f>E26</s:f>
        <s:v>9157.38961760257</s:v>
      </s:c>
      <s:c r="G25" s="33">
        <s:f>F26</s:f>
        <s:v>9239.13950205103</s:v>
      </s:c>
      <s:c r="H25" s="33">
        <s:f>G26</s:f>
        <s:v>9571.60060115451</s:v>
      </s:c>
    </s:row>
    <s:row r="26">
      <s:c r="A26" s="4" t="inlineStr">
        <s:is>
          <s:t>Ending cash balance</s:t>
        </s:is>
      </s:c>
      <s:c r="B26" s="26">
        <s:f>'Balance Sheet'!B6</s:f>
        <s:v>11600.0</s:v>
      </s:c>
      <s:c r="C26" s="26">
        <s:f>'Balance Sheet'!C6</s:f>
        <s:v>9200.0</s:v>
      </s:c>
      <s:c r="D26" s="26">
        <s:f>'Debt Schedule'!D27</s:f>
        <s:v>9198.991413192278</s:v>
      </s:c>
      <s:c r="E26" s="26">
        <s:f>'Debt Schedule'!E27</s:f>
        <s:v>9157.38961760257</s:v>
      </s:c>
      <s:c r="F26" s="26">
        <s:f>'Debt Schedule'!F27</s:f>
        <s:v>9239.13950205103</s:v>
      </s:c>
      <s:c r="G26" s="26">
        <s:f>'Debt Schedule'!G27</s:f>
        <s:v>9571.60060115451</s:v>
      </s:c>
      <s:c r="H26" s="26">
        <s:f>'Debt Schedule'!H27</s:f>
        <s:v>10030.67480444244</s:v>
      </s:c>
    </s:row>
    <s:row r="27">
      <s:c r="A27" s="6" t="inlineStr">
        <s:is>
          <s:t>Check: ties to Balance Sheet cash</s:t>
        </s:is>
      </s:c>
      <s:c r="B27" s="38">
        <s:f>B26-(B25+B24)</s:f>
        <s:v>0.0</s:v>
      </s:c>
      <s:c r="C27" s="38">
        <s:f>C26-(C25+C24)</s:f>
        <s:v>377.0</s:v>
      </s:c>
      <s:c r="D27" s="38">
        <s:f>D26-(D25+D24)</s:f>
        <s:v>0.0</s:v>
      </s:c>
      <s:c r="E27" s="38">
        <s:f>E26-(E25+E24)</s:f>
        <s:v>0.0</s:v>
      </s:c>
      <s:c r="F27" s="38">
        <s:f>F26-(F25+F24)</s:f>
        <s:v>-1.8189894035458565e-12</s:v>
      </s:c>
      <s:c r="G27" s="38">
        <s:f>G26-(G25+G24)</s:f>
        <s:v>0.0</s:v>
      </s:c>
      <s:c r="H27" s="38">
        <s:f>H26-(H25+H24)</s:f>
        <s:v>1.8189894035458565e-12</s:v>
      </s:c>
    </s:row>
  </s:sheetData>
  <s:pageMargins left="0.75" right="0.75" top="1" bottom="1" header="0.5" footer="0.5"/>
  <s:legacyDrawing r:id="anysvml"/>
</s:worksheet>
</file>

<file path=xl/worksheets/sheet6.xml><?xml version="1.0" encoding="utf-8"?>
<s:worksheet xmlns:s="http://schemas.openxmlformats.org/spreadsheetml/2006/main">
  <s:sheetPr>
    <s:outlinePr summaryBelow="1" summaryRight="1"/>
    <s:pageSetUpPr/>
  </s:sheetPr>
  <s:dimension ref="A1:H31"/>
  <s:sheetViews>
    <s:sheetView workbookViewId="0">
      <s:pane xSplit="1" ySplit="4" topLeftCell="B5" activePane="bottomRight" state="frozen"/>
      <s:selection pane="topRight"/>
      <s:selection pane="bottomLeft"/>
      <s:selection pane="bottomRight" activeCell="A1" sqref="A1"/>
    </s:sheetView>
  </s:sheetViews>
  <s:sheetFormatPr baseColWidth="8" defaultRowHeight="15"/>
  <s:cols>
    <s:col width="50" customWidth="1" min="1" max="1"/>
    <s:col width="13" customWidth="1" min="2" max="2"/>
    <s:col width="13" customWidth="1" min="3" max="3"/>
    <s:col width="13" customWidth="1" min="4" max="4"/>
    <s:col width="13" customWidth="1" min="5" max="5"/>
    <s:col width="13" customWidth="1" min="6" max="6"/>
    <s:col width="13" customWidth="1" min="7" max="7"/>
    <s:col width="13" customWidth="1" min="8" max="8"/>
  </s:cols>
  <s:sheetData>
    <s:row r="1">
      <s:c r="A1" s="1" t="inlineStr">
        <s:is>
          <s:t>NIKE, Inc. — Debt Schedule (Term Debt + Revolving Credit Facility)</s:t>
        </s:is>
      </s:c>
    </s:row>
    <s:row r="2">
      <s:c r="A2" s="10" t="inlineStr">
        <s:is>
          <s:t>NOTE: Interest expense/income is calculated on BEGINNING-of-period balances (a deliberate design choice — see Sources &amp; Assumptions) so the revolver draw/paydown and cash sweep remain fully dynamic without requiring iterative (circular) calculation.</s:t>
        </s:is>
      </s:c>
    </s:row>
    <s:row r="4">
      <s:c r="A4" s="11" t="inlineStr">
        <s:is>
          <s:t>$ in millions, except per-share data</s:t>
        </s:is>
      </s:c>
      <s:c r="B4" s="12" t="inlineStr">
        <s:is>
          <s:t>FY2024A</s:t>
        </s:is>
      </s:c>
      <s:c r="C4" s="12" t="inlineStr">
        <s:is>
          <s:t>FY2025A</s:t>
        </s:is>
      </s:c>
      <s:c r="D4" s="12" t="inlineStr">
        <s:is>
          <s:t>FY2026E</s:t>
        </s:is>
      </s:c>
      <s:c r="E4" s="12" t="inlineStr">
        <s:is>
          <s:t>FY2027E</s:t>
        </s:is>
      </s:c>
      <s:c r="F4" s="12" t="inlineStr">
        <s:is>
          <s:t>FY2028E</s:t>
        </s:is>
      </s:c>
      <s:c r="G4" s="12" t="inlineStr">
        <s:is>
          <s:t>FY2029E</s:t>
        </s:is>
      </s:c>
      <s:c r="H4" s="12" t="inlineStr">
        <s:is>
          <s:t>FY2030E</s:t>
        </s:is>
      </s:c>
    </s:row>
    <s:row r="5">
      <s:c r="B5" s="13" t="inlineStr">
        <s:is>
          <s:t>Actual</s:t>
        </s:is>
      </s:c>
      <s:c r="C5" s="13" t="inlineStr">
        <s:is>
          <s:t>Actual</s:t>
        </s:is>
      </s:c>
      <s:c r="D5" s="13" t="inlineStr">
        <s:is>
          <s:t>Projected</s:t>
        </s:is>
      </s:c>
      <s:c r="E5" s="13" t="inlineStr">
        <s:is>
          <s:t>Projected</s:t>
        </s:is>
      </s:c>
      <s:c r="F5" s="13" t="inlineStr">
        <s:is>
          <s:t>Projected</s:t>
        </s:is>
      </s:c>
      <s:c r="G5" s="13" t="inlineStr">
        <s:is>
          <s:t>Projected</s:t>
        </s:is>
      </s:c>
      <s:c r="H5" s="13" t="inlineStr">
        <s:is>
          <s:t>Projected</s:t>
        </s:is>
      </s:c>
    </s:row>
    <s:row r="6">
      <s:c r="A6" s="14" t="inlineStr">
        <s:is>
          <s:t>TERM DEBT (existing bonds, assumed bullet maturity beyond model horizon)</s:t>
        </s:is>
      </s:c>
      <s:c r="B6" s="14" t="n"/>
      <s:c r="C6" s="14" t="n"/>
      <s:c r="D6" s="14" t="n"/>
      <s:c r="E6" s="14" t="n"/>
      <s:c r="F6" s="14" t="n"/>
      <s:c r="G6" s="14" t="n"/>
      <s:c r="H6" s="14" t="n"/>
    </s:row>
    <s:row r="7">
      <s:c r="A7" s="6" t="inlineStr">
        <s:is>
          <s:t>Beginning balance</s:t>
        </s:is>
      </s:c>
      <s:c r="D7" s="33">
        <s:f>C9</s:f>
        <s:v>8000.0</s:v>
      </s:c>
      <s:c r="E7" s="33">
        <s:f>D9</s:f>
        <s:v>8000.0</s:v>
      </s:c>
      <s:c r="F7" s="33">
        <s:f>E9</s:f>
        <s:v>8000.0</s:v>
      </s:c>
      <s:c r="G7" s="33">
        <s:f>F9</s:f>
        <s:v>8000.0</s:v>
      </s:c>
      <s:c r="H7" s="33">
        <s:f>G9</s:f>
        <s:v>8000.0</s:v>
      </s:c>
    </s:row>
    <s:row r="8">
      <s:c r="A8" s="6" t="inlineStr">
        <s:is>
          <s:t>Scheduled repayment / (issuance)</s:t>
        </s:is>
      </s:c>
      <s:c r="D8" s="33" t="n">
        <s:v>0</s:v>
      </s:c>
      <s:c r="E8" s="33" t="n">
        <s:v>0</s:v>
      </s:c>
      <s:c r="F8" s="33" t="n">
        <s:v>0</s:v>
      </s:c>
      <s:c r="G8" s="33" t="n">
        <s:v>0</s:v>
      </s:c>
      <s:c r="H8" s="33" t="n">
        <s:v>0</s:v>
      </s:c>
    </s:row>
    <s:row r="9">
      <s:c r="A9" s="4" t="inlineStr">
        <s:is>
          <s:t>Ending balance</s:t>
        </s:is>
      </s:c>
      <s:c r="B9" s="30" t="n">
        <s:v>8900</s:v>
      </s:c>
      <s:c r="C9" s="30" t="n">
        <s:v>8000</s:v>
      </s:c>
      <s:c r="D9" s="32">
        <s:f>D7+D8</s:f>
        <s:v>8000.0</s:v>
      </s:c>
      <s:c r="E9" s="32">
        <s:f>E7+E8</s:f>
        <s:v>8000.0</s:v>
      </s:c>
      <s:c r="F9" s="32">
        <s:f>F7+F8</s:f>
        <s:v>8000.0</s:v>
      </s:c>
      <s:c r="G9" s="32">
        <s:f>G7+G8</s:f>
        <s:v>8000.0</s:v>
      </s:c>
      <s:c r="H9" s="32">
        <s:f>H7+H8</s:f>
        <s:v>8000.0</s:v>
      </s:c>
    </s:row>
    <s:row r="10">
      <s:c r="A10" s="6" t="inlineStr">
        <s:is>
          <s:t>Interest rate</s:t>
        </s:is>
      </s:c>
      <s:c r="B10" s="39" t="n">
        <s:v>0.036</s:v>
      </s:c>
      <s:c r="C10" s="39" t="n">
        <s:v>0.036</s:v>
      </s:c>
      <s:c r="D10" s="40">
        <s:f>Assumptions!D23</s:f>
        <s:v>0.0</s:v>
      </s:c>
      <s:c r="E10" s="40">
        <s:f>Assumptions!E23</s:f>
        <s:v>0.0</s:v>
      </s:c>
      <s:c r="F10" s="40">
        <s:f>Assumptions!F23</s:f>
        <s:v>0.0</s:v>
      </s:c>
      <s:c r="G10" s="40">
        <s:f>Assumptions!G23</s:f>
        <s:v>0.0</s:v>
      </s:c>
      <s:c r="H10" s="40">
        <s:f>Assumptions!H23</s:f>
        <s:v>0.0</s:v>
      </s:c>
    </s:row>
    <s:row r="11">
      <s:c r="A11" s="6" t="inlineStr">
        <s:is>
          <s:t>Interest expense</s:t>
        </s:is>
      </s:c>
      <s:c r="B11" s="30" t="n">
        <s:v>-286</s:v>
      </s:c>
      <s:c r="C11" s="30" t="n">
        <s:v>-300</s:v>
      </s:c>
      <s:c r="D11" s="33">
        <s:f>-D7*D10</s:f>
        <s:v>-0.0</s:v>
      </s:c>
      <s:c r="E11" s="33">
        <s:f>-E7*E10</s:f>
        <s:v>-0.0</s:v>
      </s:c>
      <s:c r="F11" s="33">
        <s:f>-F7*F10</s:f>
        <s:v>-0.0</s:v>
      </s:c>
      <s:c r="G11" s="33">
        <s:f>-G7*G10</s:f>
        <s:v>-0.0</s:v>
      </s:c>
      <s:c r="H11" s="33">
        <s:f>-H7*H10</s:f>
        <s:v>-0.0</s:v>
      </s:c>
    </s:row>
    <s:row r="13">
      <s:c r="A13" s="14" t="inlineStr">
        <s:is>
          <s:t>REVOLVING CREDIT FACILITY</s:t>
        </s:is>
      </s:c>
      <s:c r="B13" s="14" t="n"/>
      <s:c r="C13" s="14" t="n"/>
      <s:c r="D13" s="14" t="n"/>
      <s:c r="E13" s="14" t="n"/>
      <s:c r="F13" s="14" t="n"/>
      <s:c r="G13" s="14" t="n"/>
      <s:c r="H13" s="14" t="n"/>
    </s:row>
    <s:row r="14">
      <s:c r="A14" s="6" t="inlineStr">
        <s:is>
          <s:t>Beginning balance</s:t>
        </s:is>
      </s:c>
      <s:c r="B14" s="30" t="n">
        <s:v>0</s:v>
      </s:c>
      <s:c r="C14" s="30" t="n">
        <s:v>0</s:v>
      </s:c>
      <s:c r="D14" s="33">
        <s:f>C16</s:f>
        <s:v>0.0</s:v>
      </s:c>
      <s:c r="E14" s="33">
        <s:f>D16</s:f>
        <s:v>0.0</s:v>
      </s:c>
      <s:c r="F14" s="33">
        <s:f>E16</s:f>
        <s:v>0.0</s:v>
      </s:c>
      <s:c r="G14" s="33">
        <s:f>F16</s:f>
        <s:v>0.0</s:v>
      </s:c>
      <s:c r="H14" s="33">
        <s:f>G16</s:f>
        <s:v>0.0</s:v>
      </s:c>
    </s:row>
    <s:row r="15">
      <s:c r="A15" s="6" t="inlineStr">
        <s:is>
          <s:t>Draw / (paydown)</s:t>
        </s:is>
      </s:c>
      <s:c r="D15" s="33">
        <s:f>IF(D25&lt;D26,MIN(D26-D25,D19-D14),-MIN(D14,D25-D26))</s:f>
        <s:v>-0.0</s:v>
      </s:c>
      <s:c r="E15" s="33">
        <s:f>IF(E25&lt;E26,MIN(E26-E25,E19-E14),-MIN(E14,E25-E26))</s:f>
        <s:v>-0.0</s:v>
      </s:c>
      <s:c r="F15" s="33">
        <s:f>IF(F25&lt;F26,MIN(F26-F25,F19-F14),-MIN(F14,F25-F26))</s:f>
        <s:v>-0.0</s:v>
      </s:c>
      <s:c r="G15" s="33">
        <s:f>IF(G25&lt;G26,MIN(G26-G25,G19-G14),-MIN(G14,G25-G26))</s:f>
        <s:v>-0.0</s:v>
      </s:c>
      <s:c r="H15" s="33">
        <s:f>IF(H25&lt;H26,MIN(H26-H25,H19-H14),-MIN(H14,H25-H26))</s:f>
        <s:v>-0.0</s:v>
      </s:c>
    </s:row>
    <s:row r="16">
      <s:c r="A16" s="4" t="inlineStr">
        <s:is>
          <s:t>Ending balance</s:t>
        </s:is>
      </s:c>
      <s:c r="B16" s="30" t="n">
        <s:v>0</s:v>
      </s:c>
      <s:c r="C16" s="30" t="n">
        <s:v>0</s:v>
      </s:c>
      <s:c r="D16" s="32">
        <s:f>MAX(0,D14+D15)</s:f>
        <s:v>0.0</s:v>
      </s:c>
      <s:c r="E16" s="32">
        <s:f>MAX(0,E14+E15)</s:f>
        <s:v>0.0</s:v>
      </s:c>
      <s:c r="F16" s="32">
        <s:f>MAX(0,F14+F15)</s:f>
        <s:v>0.0</s:v>
      </s:c>
      <s:c r="G16" s="32">
        <s:f>MAX(0,G14+G15)</s:f>
        <s:v>0.0</s:v>
      </s:c>
      <s:c r="H16" s="32">
        <s:f>MAX(0,H14+H15)</s:f>
        <s:v>0.0</s:v>
      </s:c>
    </s:row>
    <s:row r="17">
      <s:c r="A17" s="6" t="inlineStr">
        <s:is>
          <s:t>Interest rate</s:t>
        </s:is>
      </s:c>
      <s:c r="B17" s="39" t="n">
        <s:v>0.05</s:v>
      </s:c>
      <s:c r="C17" s="39" t="n">
        <s:v>0.05</s:v>
      </s:c>
      <s:c r="D17" s="40">
        <s:f>Assumptions!$C$25</s:f>
        <s:v>0.05</s:v>
      </s:c>
      <s:c r="E17" s="40">
        <s:f>Assumptions!$C$25</s:f>
        <s:v>0.05</s:v>
      </s:c>
      <s:c r="F17" s="40">
        <s:f>Assumptions!$C$25</s:f>
        <s:v>0.05</s:v>
      </s:c>
      <s:c r="G17" s="40">
        <s:f>Assumptions!$C$25</s:f>
        <s:v>0.05</s:v>
      </s:c>
      <s:c r="H17" s="40">
        <s:f>Assumptions!$C$25</s:f>
        <s:v>0.05</s:v>
      </s:c>
    </s:row>
    <s:row r="18">
      <s:c r="A18" s="6" t="inlineStr">
        <s:is>
          <s:t>Interest expense</s:t>
        </s:is>
      </s:c>
      <s:c r="B18" s="30" t="n">
        <s:v>0</s:v>
      </s:c>
      <s:c r="C18" s="30" t="n">
        <s:v>0</s:v>
      </s:c>
      <s:c r="D18" s="33">
        <s:f>-D14*D17</s:f>
        <s:v>-0.0</s:v>
      </s:c>
      <s:c r="E18" s="33">
        <s:f>-E14*E17</s:f>
        <s:v>-0.0</s:v>
      </s:c>
      <s:c r="F18" s="33">
        <s:f>-F14*F17</s:f>
        <s:v>-0.0</s:v>
      </s:c>
      <s:c r="G18" s="33">
        <s:f>-G14*G17</s:f>
        <s:v>-0.0</s:v>
      </s:c>
      <s:c r="H18" s="33">
        <s:f>-H14*H17</s:f>
        <s:v>-0.0</s:v>
      </s:c>
    </s:row>
    <s:row r="19">
      <s:c r="A19" s="6" t="inlineStr">
        <s:is>
          <s:t>Facility capacity</s:t>
        </s:is>
      </s:c>
      <s:c r="B19" s="26">
        <s:f>Assumptions!$C$24</s:f>
        <s:v>2000.0</s:v>
      </s:c>
      <s:c r="C19" s="26">
        <s:f>Assumptions!$C$24</s:f>
        <s:v>2000.0</s:v>
      </s:c>
      <s:c r="D19" s="26">
        <s:f>Assumptions!$C$24</s:f>
        <s:v>2000.0</s:v>
      </s:c>
      <s:c r="E19" s="26">
        <s:f>Assumptions!$C$24</s:f>
        <s:v>2000.0</s:v>
      </s:c>
      <s:c r="F19" s="26">
        <s:f>Assumptions!$C$24</s:f>
        <s:v>2000.0</s:v>
      </s:c>
      <s:c r="G19" s="26">
        <s:f>Assumptions!$C$24</s:f>
        <s:v>2000.0</s:v>
      </s:c>
      <s:c r="H19" s="26">
        <s:f>Assumptions!$C$24</s:f>
        <s:v>2000.0</s:v>
      </s:c>
    </s:row>
    <s:row r="20">
      <s:c r="A20" s="6" t="inlineStr">
        <s:is>
          <s:t>Availability</s:t>
        </s:is>
      </s:c>
      <s:c r="B20" s="33">
        <s:f>B19-B16</s:f>
        <s:v>2000.0</s:v>
      </s:c>
      <s:c r="C20" s="33">
        <s:f>C19-C16</s:f>
        <s:v>2000.0</s:v>
      </s:c>
      <s:c r="D20" s="33">
        <s:f>D19-D16</s:f>
        <s:v>2000.0</s:v>
      </s:c>
      <s:c r="E20" s="33">
        <s:f>E19-E16</s:f>
        <s:v>2000.0</s:v>
      </s:c>
      <s:c r="F20" s="33">
        <s:f>F19-F16</s:f>
        <s:v>2000.0</s:v>
      </s:c>
      <s:c r="G20" s="33">
        <s:f>G19-G16</s:f>
        <s:v>2000.0</s:v>
      </s:c>
      <s:c r="H20" s="33">
        <s:f>H19-H16</s:f>
        <s:v>2000.0</s:v>
      </s:c>
    </s:row>
    <s:row r="22">
      <s:c r="A22" s="14" t="inlineStr">
        <s:is>
          <s:t>CASH &amp; REVOLVER SWEEP LOGIC</s:t>
        </s:is>
      </s:c>
      <s:c r="B22" s="14" t="n"/>
      <s:c r="C22" s="14" t="n"/>
      <s:c r="D22" s="14" t="n"/>
      <s:c r="E22" s="14" t="n"/>
      <s:c r="F22" s="14" t="n"/>
      <s:c r="G22" s="14" t="n"/>
      <s:c r="H22" s="14" t="n"/>
    </s:row>
    <s:row r="23">
      <s:c r="A23" s="6" t="inlineStr">
        <s:is>
          <s:t>Beginning cash balance</s:t>
        </s:is>
      </s:c>
      <s:c r="B23" s="37" t="inlineStr">
        <s:is>
          <s:t>n/a</s:t>
        </s:is>
      </s:c>
      <s:c r="C23" s="37" t="inlineStr">
        <s:is>
          <s:t>n/a</s:t>
        </s:is>
      </s:c>
      <s:c r="D23" s="6">
        <s:f>C27</s:f>
        <s:v>9200.0</s:v>
      </s:c>
      <s:c r="E23" s="6">
        <s:f>D27</s:f>
        <s:v>9198.991413192278</s:v>
      </s:c>
      <s:c r="F23" s="6">
        <s:f>E27</s:f>
        <s:v>9157.38961760257</s:v>
      </s:c>
      <s:c r="G23" s="6">
        <s:f>F27</s:f>
        <s:v>9239.13950205103</s:v>
      </s:c>
      <s:c r="H23" s="6">
        <s:f>G27</s:f>
        <s:v>9571.60060115451</s:v>
      </s:c>
    </s:row>
    <s:row r="24">
      <s:c r="A24" s="6" t="inlineStr">
        <s:is>
          <s:t>Cash flow before revolver financing (CFO+CFI+Div+Buyback+Debt)</s:t>
        </s:is>
      </s:c>
      <s:c r="D24" s="8">
        <s:f>'Cash Flow Statement'!D13+'Cash Flow Statement'!D16+'Cash Flow Statement'!D18+'Cash Flow Statement'!D19+'Cash Flow Statement'!D20</s:f>
        <s:v>-1.0085868077226223</s:v>
      </s:c>
      <s:c r="E24" s="8">
        <s:f>'Cash Flow Statement'!E13+'Cash Flow Statement'!E16+'Cash Flow Statement'!E18+'Cash Flow Statement'!E19+'Cash Flow Statement'!E20</s:f>
        <s:v>-41.60179558970776</s:v>
      </s:c>
      <s:c r="F24" s="8">
        <s:f>'Cash Flow Statement'!F13+'Cash Flow Statement'!F16+'Cash Flow Statement'!F18+'Cash Flow Statement'!F19+'Cash Flow Statement'!F20</s:f>
        <s:v>81.7498844484603</s:v>
      </s:c>
      <s:c r="G24" s="8">
        <s:f>'Cash Flow Statement'!G13+'Cash Flow Statement'!G16+'Cash Flow Statement'!G18+'Cash Flow Statement'!G19+'Cash Flow Statement'!G20</s:f>
        <s:v>332.4610991034797</s:v>
      </s:c>
      <s:c r="H24" s="8">
        <s:f>'Cash Flow Statement'!H13+'Cash Flow Statement'!H16+'Cash Flow Statement'!H18+'Cash Flow Statement'!H19+'Cash Flow Statement'!H20</s:f>
        <s:v>459.0742032879293</s:v>
      </s:c>
    </s:row>
    <s:row r="25">
      <s:c r="A25" s="6" t="inlineStr">
        <s:is>
          <s:t>Cash available before revolver action</s:t>
        </s:is>
      </s:c>
      <s:c r="D25" s="33">
        <s:f>D23+D24</s:f>
        <s:v>9198.991413192278</s:v>
      </s:c>
      <s:c r="E25" s="33">
        <s:f>E23+E24</s:f>
        <s:v>9157.38961760257</s:v>
      </s:c>
      <s:c r="F25" s="33">
        <s:f>F23+F24</s:f>
        <s:v>9239.13950205103</s:v>
      </s:c>
      <s:c r="G25" s="33">
        <s:f>G23+G24</s:f>
        <s:v>9571.60060115451</s:v>
      </s:c>
      <s:c r="H25" s="33">
        <s:f>H23+H24</s:f>
        <s:v>10030.67480444244</s:v>
      </s:c>
    </s:row>
    <s:row r="26">
      <s:c r="A26" s="6" t="inlineStr">
        <s:is>
          <s:t>Minimum cash required</s:t>
        </s:is>
      </s:c>
      <s:c r="D26" s="26">
        <s:f>Assumptions!$C$27</s:f>
        <s:v>3000.0</s:v>
      </s:c>
      <s:c r="E26" s="26">
        <s:f>Assumptions!$C$27</s:f>
        <s:v>3000.0</s:v>
      </s:c>
      <s:c r="F26" s="26">
        <s:f>Assumptions!$C$27</s:f>
        <s:v>3000.0</s:v>
      </s:c>
      <s:c r="G26" s="26">
        <s:f>Assumptions!$C$27</s:f>
        <s:v>3000.0</s:v>
      </s:c>
      <s:c r="H26" s="26">
        <s:f>Assumptions!$C$27</s:f>
        <s:v>3000.0</s:v>
      </s:c>
    </s:row>
    <s:row r="27">
      <s:c r="A27" s="4" t="inlineStr">
        <s:is>
          <s:t>Ending cash balance (after revolver draw/paydown)</s:t>
        </s:is>
      </s:c>
      <s:c r="B27" s="26">
        <s:f>'Balance Sheet'!B6</s:f>
        <s:v>11600.0</s:v>
      </s:c>
      <s:c r="C27" s="26">
        <s:f>'Balance Sheet'!C6</s:f>
        <s:v>9200.0</s:v>
      </s:c>
      <s:c r="D27" s="32">
        <s:f>D25+D15</s:f>
        <s:v>9198.991413192278</s:v>
      </s:c>
      <s:c r="E27" s="32">
        <s:f>E25+E15</s:f>
        <s:v>9157.38961760257</s:v>
      </s:c>
      <s:c r="F27" s="32">
        <s:f>F25+F15</s:f>
        <s:v>9239.13950205103</s:v>
      </s:c>
      <s:c r="G27" s="32">
        <s:f>G25+G15</s:f>
        <s:v>9571.60060115451</s:v>
      </s:c>
      <s:c r="H27" s="32">
        <s:f>H25+H15</s:f>
        <s:v>10030.67480444244</s:v>
      </s:c>
    </s:row>
    <s:row r="28">
      <s:c r="A28" s="6" t="inlineStr">
        <s:is>
          <s:t>Interest income earned on cash</s:t>
        </s:is>
      </s:c>
      <s:c r="B28" s="30" t="n">
        <s:v>428</s:v>
      </s:c>
      <s:c r="C28" s="30" t="n">
        <s:v>403</s:v>
      </s:c>
      <s:c r="D28" s="26">
        <s:f>D23*Assumptions!$C$26</s:f>
        <s:v>414.0</s:v>
      </s:c>
      <s:c r="E28" s="26">
        <s:f>E23*Assumptions!$C$26</s:f>
        <s:v>413.9546135936525</s:v>
      </s:c>
      <s:c r="F28" s="26">
        <s:f>F23*Assumptions!$C$26</s:f>
        <s:v>412.0825327921156</s:v>
      </s:c>
      <s:c r="G28" s="26">
        <s:f>G23*Assumptions!$C$26</s:f>
        <s:v>415.7612775922963</s:v>
      </s:c>
      <s:c r="H28" s="26">
        <s:f>H23*Assumptions!$C$26</s:f>
        <s:v>430.722027051953</s:v>
      </s:c>
    </s:row>
    <s:row r="30">
      <s:c r="A30" s="4" t="inlineStr">
        <s:is>
          <s:t>Total interest expense (Term debt + Revolver)</s:t>
        </s:is>
      </s:c>
      <s:c r="B30" s="32">
        <s:f>B11+B18</s:f>
        <s:v>-286.0</s:v>
      </s:c>
      <s:c r="C30" s="32">
        <s:f>C11+C18</s:f>
        <s:v>-300.0</s:v>
      </s:c>
      <s:c r="D30" s="32">
        <s:f>D11+D18</s:f>
        <s:v>-0.0</s:v>
      </s:c>
      <s:c r="E30" s="32">
        <s:f>E11+E18</s:f>
        <s:v>-0.0</s:v>
      </s:c>
      <s:c r="F30" s="32">
        <s:f>F11+F18</s:f>
        <s:v>-0.0</s:v>
      </s:c>
      <s:c r="G30" s="32">
        <s:f>G11+G18</s:f>
        <s:v>-0.0</s:v>
      </s:c>
      <s:c r="H30" s="32">
        <s:f>H11+H18</s:f>
        <s:v>-0.0</s:v>
      </s:c>
    </s:row>
    <s:row r="31">
      <s:c r="A31" s="4" t="inlineStr">
        <s:is>
          <s:t>Total interest income</s:t>
        </s:is>
      </s:c>
      <s:c r="B31" s="32">
        <s:f>B28</s:f>
        <s:v>428.0</s:v>
      </s:c>
      <s:c r="C31" s="32">
        <s:f>C28</s:f>
        <s:v>403.0</s:v>
      </s:c>
      <s:c r="D31" s="32">
        <s:f>D28</s:f>
        <s:v>414.0</s:v>
      </s:c>
      <s:c r="E31" s="32">
        <s:f>E28</s:f>
        <s:v>413.9546135936525</s:v>
      </s:c>
      <s:c r="F31" s="32">
        <s:f>F28</s:f>
        <s:v>412.0825327921156</s:v>
      </s:c>
      <s:c r="G31" s="32">
        <s:f>G28</s:f>
        <s:v>415.7612775922963</s:v>
      </s:c>
      <s:c r="H31" s="32">
        <s:f>H28</s:f>
        <s:v>430.722027051953</s:v>
      </s:c>
    </s:row>
  </s:sheetData>
  <s:pageMargins left="0.75" right="0.75" top="1" bottom="1" header="0.5" footer="0.5"/>
</s:worksheet>
</file>

<file path=xl/worksheets/sheet7.xml><?xml version="1.0" encoding="utf-8"?>
<s:worksheet xmlns:s="http://schemas.openxmlformats.org/spreadsheetml/2006/main">
  <s:sheetPr>
    <s:outlinePr summaryBelow="1" summaryRight="1"/>
    <s:pageSetUpPr/>
  </s:sheetPr>
  <s:dimension ref="A1:H71"/>
  <s:sheetViews>
    <s:sheetView workbookViewId="0">
      <s:pane xSplit="1" ySplit="4" topLeftCell="B5" activePane="bottomRight" state="frozen"/>
      <s:selection pane="topRight"/>
      <s:selection pane="bottomLeft"/>
      <s:selection pane="bottomRight" activeCell="A1" sqref="A1"/>
    </s:sheetView>
  </s:sheetViews>
  <s:sheetFormatPr baseColWidth="8" defaultRowHeight="15"/>
  <s:cols>
    <s:col width="52" customWidth="1" min="1" max="1"/>
    <s:col width="13" customWidth="1" min="2" max="2"/>
    <s:col width="13" customWidth="1" min="3" max="3"/>
    <s:col width="13" customWidth="1" min="4" max="4"/>
    <s:col width="13" customWidth="1" min="5" max="5"/>
    <s:col width="13" customWidth="1" min="6" max="6"/>
    <s:col width="13" customWidth="1" min="7" max="7"/>
    <s:col width="13" customWidth="1" min="8" max="8"/>
  </s:cols>
  <s:sheetData>
    <s:row r="1">
      <s:c r="A1" s="1" t="inlineStr">
        <s:is>
          <s:t>NIKE, Inc. — Discounted Cash Flow Valuation</s:t>
        </s:is>
      </s:c>
    </s:row>
    <s:row r="2">
      <s:c r="A2" s="2" t="inlineStr">
        <s:is>
          <s:t>5-year explicit forecast (FY2026E-FY2030E); Gordon Growth and Exit Multiple methods cross-checked.</s:t>
        </s:is>
      </s:c>
    </s:row>
    <s:row r="4">
      <s:c r="C4" s="12" t="inlineStr">
        <s:is>
          <s:t>Value</s:t>
        </s:is>
      </s:c>
      <s:c r="D4" s="12" t="inlineStr">
        <s:is>
          <s:t>FY2026E</s:t>
        </s:is>
      </s:c>
      <s:c r="E4" s="12" t="inlineStr">
        <s:is>
          <s:t>FY2027E</s:t>
        </s:is>
      </s:c>
      <s:c r="F4" s="12" t="inlineStr">
        <s:is>
          <s:t>FY2028E</s:t>
        </s:is>
      </s:c>
      <s:c r="G4" s="12" t="inlineStr">
        <s:is>
          <s:t>FY2029E</s:t>
        </s:is>
      </s:c>
      <s:c r="H4" s="12" t="inlineStr">
        <s:is>
          <s:t>FY2030E</s:t>
        </s:is>
      </s:c>
    </s:row>
    <s:row r="6">
      <s:c r="A6" s="14" t="inlineStr">
        <s:is>
          <s:t>UNLEVERED FREE CASH FLOW BUILD</s:t>
        </s:is>
      </s:c>
      <s:c r="B6" s="14" t="n"/>
      <s:c r="C6" s="14" t="n"/>
      <s:c r="D6" s="14" t="n"/>
      <s:c r="E6" s="14" t="n"/>
      <s:c r="F6" s="14" t="n"/>
      <s:c r="G6" s="14" t="n"/>
      <s:c r="H6" s="14" t="n"/>
    </s:row>
    <s:row r="7">
      <s:c r="A7" s="6" t="inlineStr">
        <s:is>
          <s:t>EBIT</s:t>
        </s:is>
      </s:c>
      <s:c r="D7" s="26">
        <s:f>'Income Statement'!D18</s:f>
        <s:v>4355.737650000001</s:v>
      </s:c>
      <s:c r="E7" s="26">
        <s:f>'Income Statement'!E18</s:f>
        <s:v>5194.790270999996</s:v>
      </s:c>
      <s:c r="F7" s="26">
        <s:f>'Income Statement'!F18</s:f>
        <s:v>5950.396128600003</s:v>
      </s:c>
      <s:c r="G7" s="26">
        <s:f>'Income Statement'!G18</s:f>
        <s:v>6833.038221008999</s:v>
      </s:c>
      <s:c r="H7" s="26">
        <s:f>'Income Statement'!H18</s:f>
        <s:v>7243.020514269541</s:v>
      </s:c>
    </s:row>
    <s:row r="8">
      <s:c r="A8" s="6" t="inlineStr">
        <s:is>
          <s:t>Less: cash taxes on EBIT (unlevered)</s:t>
        </s:is>
      </s:c>
      <s:c r="D8" s="26">
        <s:f>-D7*Assumptions!D13</s:f>
        <s:v>-871.1475300000002</s:v>
      </s:c>
      <s:c r="E8" s="26">
        <s:f>-E7*Assumptions!E13</s:f>
        <s:v>-1038.9580541999992</s:v>
      </s:c>
      <s:c r="F8" s="26">
        <s:f>-F7*Assumptions!F13</s:f>
        <s:v>-1190.0792257200007</s:v>
      </s:c>
      <s:c r="G8" s="26">
        <s:f>-G7*Assumptions!G13</s:f>
        <s:v>-1366.6076442018</s:v>
      </s:c>
      <s:c r="H8" s="26">
        <s:f>-H7*Assumptions!H13</s:f>
        <s:v>-1448.6041028539084</s:v>
      </s:c>
    </s:row>
    <s:row r="9">
      <s:c r="A9" s="4" t="inlineStr">
        <s:is>
          <s:t>NOPAT (EBIT after tax)</s:t>
        </s:is>
      </s:c>
      <s:c r="D9" s="32">
        <s:f>D7+D8</s:f>
        <s:v>3484.5901200000008</s:v>
      </s:c>
      <s:c r="E9" s="32">
        <s:f>E7+E8</s:f>
        <s:v>4155.832216799997</s:v>
      </s:c>
      <s:c r="F9" s="32">
        <s:f>F7+F8</s:f>
        <s:v>4760.316902880002</s:v>
      </s:c>
      <s:c r="G9" s="32">
        <s:f>G7+G8</s:f>
        <s:v>5466.430576807199</s:v>
      </s:c>
      <s:c r="H9" s="32">
        <s:f>H7+H8</s:f>
        <s:v>5794.416411415633</s:v>
      </s:c>
    </s:row>
    <s:row r="10">
      <s:c r="A10" s="6" t="inlineStr">
        <s:is>
          <s:t>Plus: D&amp;A</s:t>
        </s:is>
      </s:c>
      <s:c r="D10" s="26">
        <s:f>'Income Statement'!D33</s:f>
        <s:v>779.44779</s:v>
      </s:c>
      <s:c r="E10" s="26">
        <s:f>'Income Statement'!E33</s:f>
        <s:v>802.8312237000001</s:v>
      </s:c>
      <s:c r="F10" s="26">
        <s:f>'Income Statement'!F33</s:f>
        <s:v>842.9727848850002</s:v>
      </s:c>
      <s:c r="G10" s="26">
        <s:f>'Income Statement'!G33</s:f>
        <s:v>893.5511519781004</s:v>
      </s:c>
      <s:c r="H10" s="26">
        <s:f>'Income Statement'!H33</s:f>
        <s:v>947.1642210967864</s:v>
      </s:c>
    </s:row>
    <s:row r="11">
      <s:c r="A11" s="6" t="inlineStr">
        <s:is>
          <s:t>Less: capital expenditures</s:t>
        </s:is>
      </s:c>
      <s:c r="D11" s="26">
        <s:f>'Cash Flow Statement'!D15</s:f>
        <s:v>-825.29766</s:v>
      </s:c>
      <s:c r="E11" s="26">
        <s:f>'Cash Flow Statement'!E15</s:f>
        <s:v>-850.0565898000001</s:v>
      </s:c>
      <s:c r="F11" s="26">
        <s:f>'Cash Flow Statement'!F15</s:f>
        <s:v>-892.5594192900002</s:v>
      </s:c>
      <s:c r="G11" s="26">
        <s:f>'Cash Flow Statement'!G15</s:f>
        <s:v>-946.1129844474002</s:v>
      </s:c>
      <s:c r="H11" s="26">
        <s:f>'Cash Flow Statement'!H15</s:f>
        <s:v>-1002.8797635142442</s:v>
      </s:c>
    </s:row>
    <s:row r="12">
      <s:c r="A12" s="6" t="inlineStr">
        <s:is>
          <s:t>Less: increase / (decrease) in net working capital</s:t>
        </s:is>
      </s:c>
      <s:c r="D12" s="26">
        <s:f>'Cash Flow Statement'!D9+'Cash Flow Statement'!D10+'Cash Flow Statement'!D11</s:f>
        <s:v>139.98767919227657</s:v>
      </s:c>
      <s:c r="E12" s="26">
        <s:f>'Cash Flow Statement'!E9+'Cash Flow Statement'!E10+'Cash Flow Statement'!E11</s:f>
        <s:v>-221.90507944342016</s:v>
      </s:c>
      <s:c r="F12" s="26">
        <s:f>'Cash Flow Statement'!F9+'Cash Flow Statement'!F10+'Cash Flow Statement'!F11</s:f>
        <s:v>-402.95531532270206</s:v>
      </s:c>
      <s:c r="G12" s="26">
        <s:f>'Cash Flow Statement'!G9+'Cash Flow Statement'!G10+'Cash Flow Statement'!G11</s:f>
        <s:v>-512.9723749631867</s:v>
      </s:c>
      <s:c r="H12" s="26">
        <s:f>'Cash Flow Statement'!H9+'Cash Flow Statement'!H10+'Cash Flow Statement'!H11</s:f>
        <s:v>-583.4907054322207</s:v>
      </s:c>
    </s:row>
    <s:row r="13">
      <s:c r="A13" s="4" t="inlineStr">
        <s:is>
          <s:t>Unlevered free cash flow</s:t>
        </s:is>
      </s:c>
      <s:c r="D13" s="34">
        <s:f>D9+D10+D11+D12</s:f>
        <s:v>3578.7279291922773</s:v>
      </s:c>
      <s:c r="E13" s="34">
        <s:f>E9+E10+E11+E12</s:f>
        <s:v>3886.701771256576</s:v>
      </s:c>
      <s:c r="F13" s="34">
        <s:f>F9+F10+F11+F12</s:f>
        <s:v>4307.7749531523</s:v>
      </s:c>
      <s:c r="G13" s="34">
        <s:f>G9+G10+G11+G12</s:f>
        <s:v>4900.896369374713</s:v>
      </s:c>
      <s:c r="H13" s="34">
        <s:f>H9+H10+H11+H12</s:f>
        <s:v>5155.210163565955</s:v>
      </s:c>
    </s:row>
    <s:row r="15">
      <s:c r="A15" s="14" t="inlineStr">
        <s:is>
          <s:t>DISCOUNTING</s:t>
        </s:is>
      </s:c>
      <s:c r="B15" s="14" t="n"/>
      <s:c r="C15" s="14" t="n"/>
      <s:c r="D15" s="14" t="n"/>
      <s:c r="E15" s="14" t="n"/>
      <s:c r="F15" s="14" t="n"/>
      <s:c r="G15" s="14" t="n"/>
      <s:c r="H15" s="14" t="n"/>
    </s:row>
    <s:row r="16">
      <s:c r="A16" s="6" t="inlineStr">
        <s:is>
          <s:t>Discount period (mid-year convention not applied)</s:t>
        </s:is>
      </s:c>
      <s:c r="D16" t="n">
        <s:v>1</s:v>
      </s:c>
      <s:c r="E16" t="n">
        <s:v>2</s:v>
      </s:c>
      <s:c r="F16" t="n">
        <s:v>3</s:v>
      </s:c>
      <s:c r="G16" t="n">
        <s:v>4</s:v>
      </s:c>
      <s:c r="H16" t="n">
        <s:v>5</s:v>
      </s:c>
    </s:row>
    <s:row r="17">
      <s:c r="A17" s="6" t="inlineStr">
        <s:is>
          <s:t>Discount factor</s:t>
        </s:is>
      </s:c>
      <s:c r="D17" s="41">
        <s:f>1/(1+$C$21)^D16</s:f>
        <s:v>0.9092228181714866</s:v>
      </s:c>
      <s:c r="E17" s="41">
        <s:f>1/(1+$C$21)^E16</s:f>
        <s:v>0.8266861330837002</s:v>
      </s:c>
      <s:c r="F17" s="41">
        <s:f>1/(1+$C$21)^F16</s:f>
        <s:v>0.7516418956656505</s:v>
      </s:c>
      <s:c r="G17" s="41">
        <s:f>1/(1+$C$21)^G16</s:f>
        <s:v>0.6834099626328812</s:v>
      </s:c>
      <s:c r="H17" s="41">
        <s:f>1/(1+$C$21)^H16</s:f>
        <s:v>0.6213719321915386</s:v>
      </s:c>
    </s:row>
    <s:row r="18">
      <s:c r="A18" s="4" t="inlineStr">
        <s:is>
          <s:t>PV of unlevered free cash flow</s:t>
        </s:is>
      </s:c>
      <s:c r="D18" s="33">
        <s:f>D13*D17</s:f>
        <s:v>3253.861093249211</s:v>
      </s:c>
      <s:c r="E18" s="33">
        <s:f>E13*E17</s:f>
        <s:v>3213.082457729667</s:v>
      </s:c>
      <s:c r="F18" s="33">
        <s:f>F13*F17</s:f>
        <s:v>3237.904131888404</s:v>
      </s:c>
      <s:c r="G18" s="33">
        <s:f>G13*G17</s:f>
        <s:v>3349.3214046619955</s:v>
      </s:c>
      <s:c r="H18" s="33">
        <s:f>H13*H17</s:f>
        <s:v>3203.302900188435</s:v>
      </s:c>
    </s:row>
    <s:row r="20">
      <s:c r="A20" s="14" t="inlineStr">
        <s:is>
          <s:t>VALUATION INPUTS (from Assumptions tab)</s:t>
        </s:is>
      </s:c>
      <s:c r="B20" s="14" t="n"/>
      <s:c r="C20" s="14" t="n"/>
      <s:c r="D20" s="14" t="n"/>
      <s:c r="E20" s="14" t="n"/>
      <s:c r="F20" s="14" t="n"/>
      <s:c r="G20" s="14" t="n"/>
      <s:c r="H20" s="14" t="n"/>
    </s:row>
    <s:row r="21">
      <s:c r="A21" s="6" t="inlineStr">
        <s:is>
          <s:t>WACC</s:t>
        </s:is>
      </s:c>
      <s:c r="C21" s="40">
        <s:f>Assumptions!C43</s:f>
        <s:v>0.09984041316854873</s:v>
      </s:c>
    </s:row>
    <s:row r="22">
      <s:c r="A22" s="6" t="inlineStr">
        <s:is>
          <s:t>Terminal (perpetuity) growth rate</s:t>
        </s:is>
      </s:c>
      <s:c r="C22" s="40">
        <s:f>Assumptions!C46</s:f>
        <s:v>0.025</s:v>
      </s:c>
    </s:row>
    <s:row r="23">
      <s:c r="A23" s="6" t="inlineStr">
        <s:is>
          <s:t>Exit EV/EBITDA multiple</s:t>
        </s:is>
      </s:c>
      <s:c r="C23" s="42">
        <s:f>Assumptions!C47</s:f>
        <s:v>11.0</s:v>
      </s:c>
    </s:row>
    <s:row r="25">
      <s:c r="A25" s="14" t="inlineStr">
        <s:is>
          <s:t>ENTERPRISE &amp; EQUITY VALUE BRIDGE</s:t>
        </s:is>
      </s:c>
      <s:c r="B25" s="14" t="n"/>
      <s:c r="C25" s="14" t="n"/>
      <s:c r="D25" s="14" t="n"/>
      <s:c r="E25" s="14" t="n"/>
      <s:c r="F25" s="14" t="n"/>
      <s:c r="G25" s="14" t="n"/>
      <s:c r="H25" s="14" t="n"/>
    </s:row>
    <s:row r="26">
      <s:c r="A26" s="6" t="inlineStr">
        <s:is>
          <s:t>PV of explicit-period unlevered FCF (FY26E-FY30E)</s:t>
        </s:is>
      </s:c>
      <s:c r="C26" s="33">
        <s:f>NPV(C21,D13:H13)</s:f>
        <s:v>16257.471987717714</s:v>
      </s:c>
    </s:row>
    <s:row r="28">
      <s:c r="A28" s="4" t="inlineStr">
        <s:is>
          <s:t>Method A: Gordon Growth (perpetuity)</s:t>
        </s:is>
      </s:c>
    </s:row>
    <s:row r="29">
      <s:c r="A29" s="6" t="inlineStr">
        <s:is>
          <s:t xml:space="preserve">  Terminal value = FY30E FCF x (1+g) / (WACC-g)</s:t>
        </s:is>
      </s:c>
      <s:c r="C29" s="25">
        <s:f>H13*(1+C22)/(C21-C22)</s:f>
        <s:v>70604.77346316566</s:v>
      </s:c>
    </s:row>
    <s:row r="30">
      <s:c r="A30" s="6" t="inlineStr">
        <s:is>
          <s:t xml:space="preserve">  PV of terminal value</s:t>
        </s:is>
      </s:c>
      <s:c r="C30" s="25">
        <s:f>C29/(1+C21)^5</s:f>
        <s:v>43871.824508753125</s:v>
      </s:c>
    </s:row>
    <s:row r="31">
      <s:c r="A31" s="4" t="inlineStr">
        <s:is>
          <s:t xml:space="preserve">  Enterprise value</s:t>
        </s:is>
      </s:c>
      <s:c r="C31" s="32">
        <s:f>C26+C30</s:f>
        <s:v>60129.29649647084</s:v>
      </s:c>
    </s:row>
    <s:row r="33">
      <s:c r="A33" s="4" t="inlineStr">
        <s:is>
          <s:t>Method B: Exit Multiple cross-check</s:t>
        </s:is>
      </s:c>
    </s:row>
    <s:row r="34">
      <s:c r="A34" s="6" t="inlineStr">
        <s:is>
          <s:t xml:space="preserve">  Terminal value = FY30E EBITDA x exit multiple</s:t>
        </s:is>
      </s:c>
      <s:c r="C34" s="26">
        <s:f>'Income Statement'!H34*C23</s:f>
        <s:v>90092.03208902961</s:v>
      </s:c>
    </s:row>
    <s:row r="35">
      <s:c r="A35" s="6" t="inlineStr">
        <s:is>
          <s:t xml:space="preserve">  PV of terminal value</s:t>
        </s:is>
      </s:c>
      <s:c r="C35" s="25">
        <s:f>C34/(1+C21)^5</s:f>
        <s:v>55980.66005422243</s:v>
      </s:c>
    </s:row>
    <s:row r="36">
      <s:c r="A36" s="4" t="inlineStr">
        <s:is>
          <s:t xml:space="preserve">  Enterprise value</s:t>
        </s:is>
      </s:c>
      <s:c r="C36" s="32">
        <s:f>C26+C35</s:f>
        <s:v>72238.13204194015</s:v>
      </s:c>
    </s:row>
    <s:row r="37">
      <s:c r="A37" s="6" t="inlineStr">
        <s:is>
          <s:t xml:space="preserve">  Implied terminal growth rate (solved from exit multiple)</s:t>
        </s:is>
      </s:c>
      <s:c r="C37" s="43">
        <s:f>(H13*(1+C21)-C34*(C21))/(C34+H13)</s:f>
        <s:v>-0.03490827820377319</s:v>
      </s:c>
    </s:row>
    <s:row r="39">
      <s:c r="A39" s="6" t="inlineStr">
        <s:is>
          <s:t>Less: total debt (current + LT + revolver, FY2025A)</s:t>
        </s:is>
      </s:c>
      <s:c r="C39" s="26">
        <s:f>'Balance Sheet'!C16+'Balance Sheet'!C19+'Balance Sheet'!C20</s:f>
        <s:v>8000.0</s:v>
      </s:c>
    </s:row>
    <s:row r="40">
      <s:c r="A40" s="6" t="inlineStr">
        <s:is>
          <s:t>Plus: cash &amp; short-term investments (FY2025A)</s:t>
        </s:is>
      </s:c>
      <s:c r="C40" s="26">
        <s:f>'Balance Sheet'!C6</s:f>
        <s:v>9200.0</s:v>
      </s:c>
    </s:row>
    <s:row r="41">
      <s:c r="A41" s="4" t="inlineStr">
        <s:is>
          <s:t>Net debt</s:t>
        </s:is>
      </s:c>
      <s:c r="C41" s="32">
        <s:f>C39-C40</s:f>
        <s:v>-1200.0</s:v>
      </s:c>
    </s:row>
    <s:row r="43">
      <s:c r="A43" s="4" t="inlineStr">
        <s:is>
          <s:t>Equity value — Gordon Growth method</s:t>
        </s:is>
      </s:c>
      <s:c r="C43" s="32">
        <s:f>C31-C41</s:f>
        <s:v>61329.29649647084</s:v>
      </s:c>
    </s:row>
    <s:row r="44">
      <s:c r="A44" s="4" t="inlineStr">
        <s:is>
          <s:t>Equity value — Exit Multiple method</s:t>
        </s:is>
      </s:c>
      <s:c r="C44" s="32">
        <s:f>C36-C41</s:f>
        <s:v>73438.13204194015</s:v>
      </s:c>
    </s:row>
    <s:row r="45">
      <s:c r="A45" s="6" t="inlineStr">
        <s:is>
          <s:t>Diluted shares outstanding, mm</s:t>
        </s:is>
      </s:c>
      <s:c r="C45" s="17">
        <s:f>Assumptions!C38</s:f>
        <s:v>1487.6</s:v>
      </s:c>
    </s:row>
    <s:row r="47">
      <s:c r="A47" s="4" t="inlineStr">
        <s:is>
          <s:t>Implied share price — Gordon Growth</s:t>
        </s:is>
      </s:c>
      <s:c r="C47" s="44">
        <s:f>C43/C45</s:f>
        <s:v>41.22700759375561</s:v>
      </s:c>
    </s:row>
    <s:row r="48">
      <s:c r="A48" s="4" t="inlineStr">
        <s:is>
          <s:t>Implied share price — Exit Multiple</s:t>
        </s:is>
      </s:c>
      <s:c r="C48" s="44">
        <s:f>C44/C45</s:f>
        <s:v>49.36685402120204</s:v>
      </s:c>
    </s:row>
    <s:row r="49">
      <s:c r="A49" s="6" t="inlineStr">
        <s:is>
          <s:t>Current share price</s:t>
        </s:is>
      </s:c>
      <s:c r="C49" s="45">
        <s:f>Assumptions!C37</s:f>
        <s:v>37.03</s:v>
      </s:c>
    </s:row>
    <s:row r="50">
      <s:c r="A50" s="4" t="inlineStr">
        <s:is>
          <s:t>Implied upside / (downside) vs. current price (avg of two methods)</s:t>
        </s:is>
      </s:c>
      <s:c r="C50" s="46">
        <s:f>AVERAGE(C47,C48)/C49-1</s:f>
        <s:v>0.22324954921627937</s:v>
      </s:c>
    </s:row>
    <s:row r="53">
      <s:c r="A53" s="14" t="inlineStr">
        <s:is>
          <s:t>SENSITIVITY 1 — Implied Share Price: WACC (rows) vs. Terminal Growth Rate (columns) — Gordon Growth Method</s:t>
        </s:is>
      </s:c>
      <s:c r="B53" s="14" t="n"/>
      <s:c r="C53" s="14" t="n"/>
      <s:c r="D53" s="14" t="n"/>
      <s:c r="E53" s="14" t="n"/>
      <s:c r="F53" s="14" t="n"/>
      <s:c r="G53" s="14" t="n"/>
      <s:c r="H53" s="14" t="n"/>
    </s:row>
    <s:row r="54">
      <s:c r="C54" s="4" t="inlineStr">
        <s:is>
          <s:t>WACC \ g</s:t>
        </s:is>
      </s:c>
      <s:c r="D54" s="47">
        <s:f>$C$22+-0.01</s:f>
        <s:v>0.015000000000000001</s:v>
      </s:c>
      <s:c r="E54" s="47">
        <s:f>$C$22+-0.005</s:f>
        <s:v>0.02</s:v>
      </s:c>
      <s:c r="F54" s="47">
        <s:f>$C$22+0</s:f>
        <s:v>0.025</s:v>
      </s:c>
      <s:c r="G54" s="47">
        <s:f>$C$22+0.005</s:f>
        <s:v>0.030000000000000002</s:v>
      </s:c>
      <s:c r="H54" s="47">
        <s:f>$C$22+0.01</s:f>
        <s:v>0.035</s:v>
      </s:c>
    </s:row>
    <s:row r="55">
      <s:c r="C55" s="47">
        <s:f>$C$21+-0.01</s:f>
        <s:v>0.08984041316854874</s:v>
      </s:c>
      <s:c r="D55" s="48">
        <s:f>(NPV($C55,$D$13:$H$13)+($H$13*(1+D$54)/($C55-D$54))/(1+$C55)^5-$C$41)/$C$45</s:f>
        <s:v>42.60868205877733</s:v>
      </s:c>
      <s:c r="E55" s="48">
        <s:f>(NPV($C55,$D$13:$H$13)+($H$13*(1+E$54)/($C55-E$54))/(1+$C55)^5-$C$41)/$C$45</s:f>
        <s:v>44.95850749278887</s:v>
      </s:c>
      <s:c r="F55" s="48">
        <s:f>(NPV($C55,$D$13:$H$13)+($H$13*(1+F$54)/($C55-F$54))/(1+$C55)^5-$C$41)/$C$45</s:f>
        <s:v>47.67073429335294</s:v>
      </s:c>
      <s:c r="G55" s="48">
        <s:f>(NPV($C55,$D$13:$H$13)+($H$13*(1+G$54)/($C55-G$54))/(1+$C55)^5-$C$41)/$C$45</s:f>
        <s:v>50.83620442178725</s:v>
      </s:c>
      <s:c r="H55" s="48">
        <s:f>(NPV($C55,$D$13:$H$13)+($H$13*(1+H$54)/($C55-H$54))/(1+$C55)^5-$C$41)/$C$45</s:f>
        <s:v>54.578889407940686</s:v>
      </s:c>
    </s:row>
    <s:row r="56">
      <s:c r="C56" s="47">
        <s:f>$C$21+-0.005</s:f>
        <s:v>0.09484041316854873</s:v>
      </s:c>
      <s:c r="D56" s="48">
        <s:f>(NPV($C56,$D$13:$H$13)+($H$13*(1+D$54)/($C56-D$54))/(1+$C56)^5-$C$41)/$C$45</s:f>
        <s:v>39.89196879341948</s:v>
      </s:c>
      <s:c r="E56" s="48">
        <s:f>(NPV($C56,$D$13:$H$13)+($H$13*(1+E$54)/($C56-E$54))/(1+$C56)^5-$C$41)/$C$45</s:f>
        <s:v>41.910186341325115</s:v>
      </s:c>
      <s:c r="F56" s="48">
        <s:f>(NPV($C56,$D$13:$H$13)+($H$13*(1+F$54)/($C56-F$54))/(1+$C56)^5-$C$41)/$C$45</s:f>
        <s:v>44.21737949179984</s:v>
      </s:c>
      <s:c r="G56" s="48">
        <s:f>(NPV($C56,$D$13:$H$13)+($H$13*(1+G$54)/($C56-G$54))/(1+$C56)^5-$C$41)/$C$45</s:f>
        <s:v>46.88039905326263</s:v>
      </s:c>
      <s:c r="H56" s="48">
        <s:f>(NPV($C56,$D$13:$H$13)+($H$13*(1+H$54)/($C56-H$54))/(1+$C56)^5-$C$41)/$C$45</s:f>
        <s:v>49.98843886449575</s:v>
      </s:c>
    </s:row>
    <s:row r="57">
      <s:c r="C57" s="47">
        <s:f>$C$21+0</s:f>
        <s:v>0.09984041316854873</s:v>
      </s:c>
      <s:c r="D57" s="48">
        <s:f>(NPV($C57,$D$13:$H$13)+($H$13*(1+D$54)/($C57-D$54))/(1+$C57)^5-$C$41)/$C$45</s:f>
        <s:v>37.497061463292354</s:v>
      </s:c>
      <s:c r="E57" s="48">
        <s:f>(NPV($C57,$D$13:$H$13)+($H$13*(1+E$54)/($C57-E$54))/(1+$C57)^5-$C$41)/$C$45</s:f>
        <s:v>39.245240727539105</s:v>
      </s:c>
      <s:c r="F57" s="44">
        <s:f>(NPV($C57,$D$13:$H$13)+($H$13*(1+F$54)/($C57-F$54))/(1+$C57)^5-$C$41)/$C$45</s:f>
        <s:v>41.22700759375561</s:v>
      </s:c>
      <s:c r="G57" s="48">
        <s:f>(NPV($C57,$D$13:$H$13)+($H$13*(1+G$54)/($C57-G$54))/(1+$C57)^5-$C$41)/$C$45</s:f>
        <s:v>43.492530923645056</s:v>
      </s:c>
      <s:c r="H57" s="48">
        <s:f>(NPV($C57,$D$13:$H$13)+($H$13*(1+H$54)/($C57-H$54))/(1+$C57)^5-$C$41)/$C$45</s:f>
        <s:v>46.107454144617925</s:v>
      </s:c>
    </s:row>
    <s:row r="58">
      <s:c r="C58" s="47">
        <s:f>$C$21+0.005</s:f>
        <s:v>0.10484041316854874</s:v>
      </s:c>
      <s:c r="D58" s="48">
        <s:f>(NPV($C58,$D$13:$H$13)+($H$13*(1+D$54)/($C58-D$54))/(1+$C58)^5-$C$41)/$C$45</s:f>
        <s:v>35.37019678967866</s:v>
      </s:c>
      <s:c r="E58" s="48">
        <s:f>(NPV($C58,$D$13:$H$13)+($H$13*(1+E$54)/($C58-E$54))/(1+$C58)^5-$C$41)/$C$45</s:f>
        <s:v>36.89585583348248</s:v>
      </s:c>
      <s:c r="F58" s="48">
        <s:f>(NPV($C58,$D$13:$H$13)+($H$13*(1+F$54)/($C58-F$54))/(1+$C58)^5-$C$41)/$C$45</s:f>
        <s:v>38.61260344800586</s:v>
      </s:c>
      <s:c r="G58" s="48">
        <s:f>(NPV($C58,$D$13:$H$13)+($H$13*(1+G$54)/($C58-G$54))/(1+$C58)^5-$C$41)/$C$45</s:f>
        <s:v>40.55873884138305</s:v>
      </s:c>
      <s:c r="H58" s="48">
        <s:f>(NPV($C58,$D$13:$H$13)+($H$13*(1+H$54)/($C58-H$54))/(1+$C58)^5-$C$41)/$C$45</s:f>
        <s:v>42.78352885678838</s:v>
      </s:c>
    </s:row>
    <s:row r="59">
      <s:c r="C59" s="47">
        <s:f>$C$21+0.01</s:f>
        <s:v>0.10984041316854873</s:v>
      </s:c>
      <s:c r="D59" s="48">
        <s:f>(NPV($C59,$D$13:$H$13)+($H$13*(1+D$54)/($C59-D$54))/(1+$C59)^5-$C$41)/$C$45</s:f>
        <s:v>33.46894999761541</s:v>
      </s:c>
      <s:c r="E59" s="48">
        <s:f>(NPV($C59,$D$13:$H$13)+($H$13*(1+E$54)/($C59-E$54))/(1+$C59)^5-$C$41)/$C$45</s:f>
        <s:v>34.80931442077018</s:v>
      </s:c>
      <s:c r="F59" s="48">
        <s:f>(NPV($C59,$D$13:$H$13)+($H$13*(1+F$54)/($C59-F$54))/(1+$C59)^5-$C$41)/$C$45</s:f>
        <s:v>36.307665394567</s:v>
      </s:c>
      <s:c r="G59" s="48">
        <s:f>(NPV($C59,$D$13:$H$13)+($H$13*(1+G$54)/($C59-G$54))/(1+$C59)^5-$C$41)/$C$45</s:f>
        <s:v>37.99368460733372</s:v>
      </s:c>
      <s:c r="H59" s="48">
        <s:f>(NPV($C59,$D$13:$H$13)+($H$13*(1+H$54)/($C59-H$54))/(1+$C59)^5-$C$41)/$C$45</s:f>
        <s:v>39.90498574217767</s:v>
      </s:c>
    </s:row>
    <s:row r="61">
      <s:c r="A61" s="6" t="inlineStr">
        <s:is>
          <s:t xml:space="preserve">  Range (low - high)</s:t>
        </s:is>
      </s:c>
      <s:c r="C61" s="48">
        <s:f>MIN(D55:H59)</s:f>
        <s:v>33.46894999761541</s:v>
      </s:c>
      <s:c r="D61" s="48">
        <s:f>MAX(D55:H59)</s:f>
        <s:v>54.578889407940686</s:v>
      </s:c>
    </s:row>
    <s:row r="63">
      <s:c r="A63" s="14" t="inlineStr">
        <s:is>
          <s:t>SENSITIVITY 2 — Implied Share Price: WACC (rows) vs. Exit EV/EBITDA Multiple (columns)</s:t>
        </s:is>
      </s:c>
      <s:c r="B63" s="14" t="n"/>
      <s:c r="C63" s="14" t="n"/>
      <s:c r="D63" s="14" t="n"/>
      <s:c r="E63" s="14" t="n"/>
      <s:c r="F63" s="14" t="n"/>
      <s:c r="G63" s="14" t="n"/>
      <s:c r="H63" s="14" t="n"/>
    </s:row>
    <s:row r="64">
      <s:c r="C64" s="4" t="inlineStr">
        <s:is>
          <s:t>WACC \ Exit x</s:t>
        </s:is>
      </s:c>
      <s:c r="D64" s="49">
        <s:f>$C$23+-2</s:f>
        <s:v>9.0</s:v>
      </s:c>
      <s:c r="E64" s="49">
        <s:f>$C$23+-1</s:f>
        <s:v>10.0</s:v>
      </s:c>
      <s:c r="F64" s="49">
        <s:f>$C$23+0</s:f>
        <s:v>11.0</s:v>
      </s:c>
      <s:c r="G64" s="49">
        <s:f>$C$23+1</s:f>
        <s:v>12.0</s:v>
      </s:c>
      <s:c r="H64" s="49">
        <s:f>$C$23+2</s:f>
        <s:v>13.0</s:v>
      </s:c>
    </s:row>
    <s:row r="65">
      <s:c r="C65" s="47">
        <s:f>$C$21+-0.01</s:f>
        <s:v>0.08984041316854874</s:v>
      </s:c>
      <s:c r="D65" s="48">
        <s:f>(NPV($C65,$D$13:$H$13)+('Income Statement'!$H$34*D$64)/(1+$C65)^5-$C$41)/$C$45</s:f>
        <s:v>44.2682423086478</s:v>
      </s:c>
      <s:c r="E65" s="48">
        <s:f>(NPV($C65,$D$13:$H$13)+('Income Statement'!$H$34*E$64)/(1+$C65)^5-$C$41)/$C$45</s:f>
        <s:v>47.849148852254324</s:v>
      </s:c>
      <s:c r="F65" s="48">
        <s:f>(NPV($C65,$D$13:$H$13)+('Income Statement'!$H$34*F$64)/(1+$C65)^5-$C$41)/$C$45</s:f>
        <s:v>51.43005539586083</s:v>
      </s:c>
      <s:c r="G65" s="48">
        <s:f>(NPV($C65,$D$13:$H$13)+('Income Statement'!$H$34*G$64)/(1+$C65)^5-$C$41)/$C$45</s:f>
        <s:v>55.01096193946734</s:v>
      </s:c>
      <s:c r="H65" s="48">
        <s:f>(NPV($C65,$D$13:$H$13)+('Income Statement'!$H$34*H$64)/(1+$C65)^5-$C$41)/$C$45</s:f>
        <s:v>58.59186848307386</s:v>
      </s:c>
    </s:row>
    <s:row r="66">
      <s:c r="C66" s="47">
        <s:f>$C$21+-0.005</s:f>
        <s:v>0.09484041316854873</s:v>
      </s:c>
      <s:c r="D66" s="48">
        <s:f>(NPV($C66,$D$13:$H$13)+('Income Statement'!$H$34*D$64)/(1+$C66)^5-$C$41)/$C$45</s:f>
        <s:v>43.38501911574748</s:v>
      </s:c>
      <s:c r="E66" s="48">
        <s:f>(NPV($C66,$D$13:$H$13)+('Income Statement'!$H$34*E$64)/(1+$C66)^5-$C$41)/$C$45</s:f>
        <s:v>46.88490132877985</s:v>
      </s:c>
      <s:c r="F66" s="48">
        <s:f>(NPV($C66,$D$13:$H$13)+('Income Statement'!$H$34*F$64)/(1+$C66)^5-$C$41)/$C$45</s:f>
        <s:v>50.3847835418122</s:v>
      </s:c>
      <s:c r="G66" s="48">
        <s:f>(NPV($C66,$D$13:$H$13)+('Income Statement'!$H$34*G$64)/(1+$C66)^5-$C$41)/$C$45</s:f>
        <s:v>53.884665754844555</s:v>
      </s:c>
      <s:c r="H66" s="48">
        <s:f>(NPV($C66,$D$13:$H$13)+('Income Statement'!$H$34*H$64)/(1+$C66)^5-$C$41)/$C$45</s:f>
        <s:v>57.38454796787692</s:v>
      </s:c>
    </s:row>
    <s:row r="67">
      <s:c r="C67" s="47">
        <s:f>$C$21+0</s:f>
        <s:v>0.09984041316854873</s:v>
      </s:c>
      <s:c r="D67" s="48">
        <s:f>(NPV($C67,$D$13:$H$13)+('Income Statement'!$H$34*D$64)/(1+$C67)^5-$C$41)/$C$45</s:f>
        <s:v>42.52475814325067</s:v>
      </s:c>
      <s:c r="E67" s="48">
        <s:f>(NPV($C67,$D$13:$H$13)+('Income Statement'!$H$34*E$64)/(1+$C67)^5-$C$41)/$C$45</s:f>
        <s:v>45.945806082226355</s:v>
      </s:c>
      <s:c r="F67" s="44">
        <s:f>(NPV($C67,$D$13:$H$13)+('Income Statement'!$H$34*F$64)/(1+$C67)^5-$C$41)/$C$45</s:f>
        <s:v>49.36685402120204</s:v>
      </s:c>
      <s:c r="G67" s="48">
        <s:f>(NPV($C67,$D$13:$H$13)+('Income Statement'!$H$34*G$64)/(1+$C67)^5-$C$41)/$C$45</s:f>
        <s:v>52.78790196017772</s:v>
      </s:c>
      <s:c r="H67" s="48">
        <s:f>(NPV($C67,$D$13:$H$13)+('Income Statement'!$H$34*H$64)/(1+$C67)^5-$C$41)/$C$45</s:f>
        <s:v>56.208949899153396</s:v>
      </s:c>
    </s:row>
    <s:row r="68">
      <s:c r="C68" s="47">
        <s:f>$C$21+0.005</s:f>
        <s:v>0.10484041316854874</s:v>
      </s:c>
      <s:c r="D68" s="48">
        <s:f>(NPV($C68,$D$13:$H$13)+('Income Statement'!$H$34*D$64)/(1+$C68)^5-$C$41)/$C$45</s:f>
        <s:v>41.68675293827766</s:v>
      </s:c>
      <s:c r="E68" s="48">
        <s:f>(NPV($C68,$D$13:$H$13)+('Income Statement'!$H$34*E$64)/(1+$C68)^5-$C$41)/$C$45</s:f>
        <s:v>45.03108790745126</s:v>
      </s:c>
      <s:c r="F68" s="48">
        <s:f>(NPV($C68,$D$13:$H$13)+('Income Statement'!$H$34*F$64)/(1+$C68)^5-$C$41)/$C$45</s:f>
        <s:v>48.37542287662486</s:v>
      </s:c>
      <s:c r="G68" s="48">
        <s:f>(NPV($C68,$D$13:$H$13)+('Income Statement'!$H$34*G$64)/(1+$C68)^5-$C$41)/$C$45</s:f>
        <s:v>51.71975784579846</s:v>
      </s:c>
      <s:c r="H68" s="48">
        <s:f>(NPV($C68,$D$13:$H$13)+('Income Statement'!$H$34*H$64)/(1+$C68)^5-$C$41)/$C$45</s:f>
        <s:v>55.064092814972064</s:v>
      </s:c>
    </s:row>
    <s:row r="69">
      <s:c r="C69" s="47">
        <s:f>$C$21+0.01</s:f>
        <s:v>0.10984041316854873</s:v>
      </s:c>
      <s:c r="D69" s="48">
        <s:f>(NPV($C69,$D$13:$H$13)+('Income Statement'!$H$34*D$64)/(1+$C69)^5-$C$41)/$C$45</s:f>
        <s:v>40.870321970281594</s:v>
      </s:c>
      <s:c r="E69" s="48">
        <s:f>(NPV($C69,$D$13:$H$13)+('Income Statement'!$H$34*E$64)/(1+$C69)^5-$C$41)/$C$45</s:f>
        <s:v>44.1399989772832</s:v>
      </s:c>
      <s:c r="F69" s="48">
        <s:f>(NPV($C69,$D$13:$H$13)+('Income Statement'!$H$34*F$64)/(1+$C69)^5-$C$41)/$C$45</s:f>
        <s:v>47.40967598428481</s:v>
      </s:c>
      <s:c r="G69" s="48">
        <s:f>(NPV($C69,$D$13:$H$13)+('Income Statement'!$H$34*G$64)/(1+$C69)^5-$C$41)/$C$45</s:f>
        <s:v>50.67935299128641</s:v>
      </s:c>
      <s:c r="H69" s="48">
        <s:f>(NPV($C69,$D$13:$H$13)+('Income Statement'!$H$34*H$64)/(1+$C69)^5-$C$41)/$C$45</s:f>
        <s:v>53.94902999828801</s:v>
      </s:c>
    </s:row>
    <s:row r="71">
      <s:c r="A71" s="6" t="inlineStr">
        <s:is>
          <s:t xml:space="preserve">  Range (low - high)</s:t>
        </s:is>
      </s:c>
      <s:c r="C71" s="48">
        <s:f>MIN(D65:H69)</s:f>
        <s:v>40.870321970281594</s:v>
      </s:c>
      <s:c r="D71" s="48">
        <s:f>MAX(D65:H69)</s:f>
        <s:v>58.59186848307386</s:v>
      </s:c>
    </s:row>
  </s:sheetData>
  <s:pageMargins left="0.75" right="0.75" top="1" bottom="1" header="0.5" footer="0.5"/>
</s:worksheet>
</file>

<file path=xl/worksheets/sheet8.xml><?xml version="1.0" encoding="utf-8"?>
<s:worksheet xmlns:r="http://schemas.openxmlformats.org/officeDocument/2006/relationships" xmlns:s="http://schemas.openxmlformats.org/spreadsheetml/2006/main">
  <s:sheetPr>
    <s:outlinePr summaryBelow="1" summaryRight="1"/>
    <s:pageSetUpPr/>
  </s:sheetPr>
  <s:dimension ref="A1:H10"/>
  <s:sheetViews>
    <s:sheetView workbookViewId="0">
      <s:selection activeCell="A1" sqref="A1"/>
    </s:sheetView>
  </s:sheetViews>
  <s:sheetFormatPr baseColWidth="8" defaultRowHeight="15"/>
  <s:cols>
    <s:col width="34" customWidth="1" min="1" max="1"/>
    <s:col width="14" customWidth="1" min="2" max="2"/>
    <s:col width="14" customWidth="1" min="3" max="3"/>
    <s:col width="14" customWidth="1" min="4" max="4"/>
    <s:col width="60" customWidth="1" min="5" max="5"/>
  </s:cols>
  <s:sheetData>
    <s:row r="1">
      <s:c r="A1" s="1" t="inlineStr">
        <s:is>
          <s:t>NIKE, Inc. — Valuation Summary (Football Field)</s:t>
        </s:is>
      </s:c>
    </s:row>
    <s:row r="2">
      <s:c r="A2" s="2" t="inlineStr">
        <s:is>
          <s:t>Implied share price by methodology vs. current price of $37.03</s:t>
        </s:is>
      </s:c>
    </s:row>
    <s:row r="4">
      <s:c r="A4" s="50" t="inlineStr">
        <s:is>
          <s:t>Methodology</s:t>
        </s:is>
      </s:c>
      <s:c r="B4" s="50" t="inlineStr">
        <s:is>
          <s:t>Low</s:t>
        </s:is>
      </s:c>
      <s:c r="C4" s="50" t="inlineStr">
        <s:is>
          <s:t>High</s:t>
        </s:is>
      </s:c>
      <s:c r="D4" s="50" t="inlineStr">
        <s:is>
          <s:t>Midpoint</s:t>
        </s:is>
      </s:c>
      <s:c r="E4" s="50" t="inlineStr">
        <s:is>
          <s:t>Basis</s:t>
        </s:is>
      </s:c>
      <s:c r="F4" s="51" t="inlineStr">
        <s:is>
          <s:t>Methodology</s:t>
        </s:is>
      </s:c>
      <s:c r="G4" s="51" t="inlineStr">
        <s:is>
          <s:t>Base (Low)</s:t>
        </s:is>
      </s:c>
      <s:c r="H4" s="51" t="inlineStr">
        <s:is>
          <s:t>Span (High-Low)</s:t>
        </s:is>
      </s:c>
    </s:row>
    <s:row r="5">
      <s:c r="A5" s="6" t="inlineStr">
        <s:is>
          <s:t>DCF — Gordon Growth</s:t>
        </s:is>
      </s:c>
      <s:c r="B5" s="48">
        <s:f>'DCF Valuation'!C61</s:f>
        <s:v>33.46894999761541</s:v>
      </s:c>
      <s:c r="C5" s="48">
        <s:f>'DCF Valuation'!D61</s:f>
        <s:v>54.578889407940686</s:v>
      </s:c>
      <s:c r="D5" s="48">
        <s:f>AVERAGE(B5:C5)</s:f>
        <s:v>44.023919702778045</s:v>
      </s:c>
      <s:c r="E5" s="11" t="inlineStr">
        <s:is>
          <s:t>WACC 8.8%-10.8% x terminal growth 1.5%-3.5%</s:t>
        </s:is>
      </s:c>
      <s:c r="F5" t="str">
        <s:f>A5</s:f>
        <s:v>DCF — Gordon Growth</s:v>
      </s:c>
      <s:c r="G5" s="48">
        <s:f>B5</s:f>
        <s:v>33.46894999761541</s:v>
      </s:c>
      <s:c r="H5" s="48">
        <s:f>C5-B5</s:f>
        <s:v>21.109939410325275</s:v>
      </s:c>
    </s:row>
    <s:row r="6">
      <s:c r="A6" s="6" t="inlineStr">
        <s:is>
          <s:t>DCF — Exit Multiple</s:t>
        </s:is>
      </s:c>
      <s:c r="B6" s="48">
        <s:f>'DCF Valuation'!C71</s:f>
        <s:v>40.870321970281594</s:v>
      </s:c>
      <s:c r="C6" s="48">
        <s:f>'DCF Valuation'!D71</s:f>
        <s:v>58.59186848307386</s:v>
      </s:c>
      <s:c r="D6" s="48">
        <s:f>AVERAGE(B6:C6)</s:f>
        <s:v>49.73109522667772</s:v>
      </s:c>
      <s:c r="E6" s="11" t="inlineStr">
        <s:is>
          <s:t>WACC 8.8%-10.8% x exit EV/EBITDA 9.0x-13.0x</s:t>
        </s:is>
      </s:c>
      <s:c r="F6" t="str">
        <s:f>A6</s:f>
        <s:v>DCF — Exit Multiple</s:v>
      </s:c>
      <s:c r="G6" s="48">
        <s:f>B6</s:f>
        <s:v>40.870321970281594</s:v>
      </s:c>
      <s:c r="H6" s="48">
        <s:f>C6-B6</s:f>
        <s:v>17.721546512792266</s:v>
      </s:c>
    </s:row>
    <s:row r="7">
      <s:c r="A7" s="6" t="inlineStr">
        <s:is>
          <s:t>Comparable companies (EV/EBITDA)</s:t>
        </s:is>
      </s:c>
      <s:c r="B7" s="48">
        <s:f>(('Income Statement'!D34*8.5)-'DCF Valuation'!C41)/'DCF Valuation'!C45</s:f>
        <s:v>30.148612691583768</s:v>
      </s:c>
      <s:c r="C7" s="48">
        <s:f>(('Income Statement'!D34*12.5)-'DCF Valuation'!C41)/'DCF Valuation'!C45</s:f>
        <s:v>43.9565864479699</s:v>
      </s:c>
      <s:c r="D7" s="48">
        <s:f>AVERAGE(B7:C7)</s:f>
        <s:v>37.05259956977683</s:v>
      </s:c>
      <s:c r="E7" s="11" t="inlineStr">
        <s:is>
          <s:t>Peer range 8.5x-12.5x applied to FY2026E EBITDA</s:t>
        </s:is>
      </s:c>
      <s:c r="F7" t="str">
        <s:f>A7</s:f>
        <s:v>Comparable companies (EV/EBITDA)</s:v>
      </s:c>
      <s:c r="G7" s="48">
        <s:f>B7</s:f>
        <s:v>30.148612691583768</s:v>
      </s:c>
      <s:c r="H7" s="48">
        <s:f>C7-B7</s:f>
        <s:v>13.80797375638613</s:v>
      </s:c>
    </s:row>
    <s:row r="8">
      <s:c r="A8" s="6" t="inlineStr">
        <s:is>
          <s:t>52-week trading range</s:t>
        </s:is>
      </s:c>
      <s:c r="B8" s="52" t="n">
        <s:v>36.85</s:v>
      </s:c>
      <s:c r="C8" s="52" t="n">
        <s:v>76.97</s:v>
      </s:c>
      <s:c r="D8" s="48">
        <s:f>AVERAGE(B8:C8)</s:f>
        <s:v>56.91</s:v>
      </s:c>
      <s:c r="E8" s="11" t="inlineStr">
        <s:is>
          <s:t>NKE 52-week low/high, Sept 2026 (sourced)</s:t>
        </s:is>
      </s:c>
      <s:c r="F8" t="str">
        <s:f>A8</s:f>
        <s:v>52-week trading range</s:v>
      </s:c>
      <s:c r="G8" s="48">
        <s:f>B8</s:f>
        <s:v>36.85</s:v>
      </s:c>
      <s:c r="H8" s="48">
        <s:f>C8-B8</s:f>
        <s:v>40.12</s:v>
      </s:c>
    </s:row>
    <s:row r="10">
      <s:c r="A10" s="4" t="inlineStr">
        <s:is>
          <s:t>Current share price</s:t>
        </s:is>
      </s:c>
      <s:c r="B10" s="52" t="n">
        <s:v>37.03</s:v>
      </s:c>
    </s:row>
  </s:sheetData>
  <s:pageMargins left="0.75" right="0.75" top="1" bottom="1" header="0.5" footer="0.5"/>
  <s:drawing r:id="rId1"/>
</s:worksheet>
</file>

<file path=xl/worksheets/sheet9.xml><?xml version="1.0" encoding="utf-8"?>
<worksheet xmlns="http://schemas.openxmlformats.org/spreadsheetml/2006/main">
  <sheetPr>
    <outlinePr summaryBelow="1" summaryRight="1"/>
    <pageSetUpPr/>
  </sheetPr>
  <dimension ref="A1:C29"/>
  <sheetViews>
    <sheetView workbookViewId="0">
      <pane ySplit="5" topLeftCell="A6" activePane="bottomLeft" state="frozen"/>
      <selection pane="bottomLeft" activeCell="A1" sqref="A1"/>
    </sheetView>
  </sheetViews>
  <sheetFormatPr baseColWidth="8" defaultRowHeight="15"/>
  <cols>
    <col width="8" customWidth="1" min="1" max="1"/>
    <col width="44" customWidth="1" min="2" max="2"/>
    <col width="78" customWidth="1" min="3" max="3"/>
  </cols>
  <sheetData>
    <row r="1">
      <c r="A1" s="1" t="inlineStr">
        <is>
          <t>Sources &amp; Assumptions — Full Disclosure</t>
        </is>
      </c>
    </row>
    <row r="3" ht="90" customHeight="1">
      <c r="A3" s="53" t="inlineStr">
        <is>
          <t>This model was built during a live research session (Sept 2026) using public-web search tools. Direct access to SEC EDGAR / stockanalysis.com / press-release wire services was blocked by this session's network egress policy, so every figure below was sourced via search-engine synthesis of those primary filings rather than a direct line-by-line read of the source document. Figures marked 'SOURCED' are corroborated, cross-checked figures (e.g., net income vs. pretax income x (1-tax rate) reconciles). Figures marked 'ESTIMATE' are explicitly-flagged modeling assumptions, not disclosed actuals — flex them on the Assumptions tab.</t>
        </is>
      </c>
    </row>
    <row r="5">
      <c r="A5" s="50" t="inlineStr">
        <is>
          <t>#</t>
        </is>
      </c>
      <c r="B5" s="50" t="inlineStr">
        <is>
          <t>Item</t>
        </is>
      </c>
      <c r="C5" s="50" t="inlineStr">
        <is>
          <t>Detail / Citation</t>
        </is>
      </c>
    </row>
    <row r="6" ht="45" customHeight="1">
      <c r="A6" s="54" t="inlineStr">
        <is>
          <t>SOURCED</t>
        </is>
      </c>
      <c r="B6" s="4" t="inlineStr">
        <is>
          <t>Revenue FY2024A / FY2025A</t>
        </is>
      </c>
      <c r="C6" s="53" t="inlineStr">
        <is>
          <t>$51,362mm / $46,313mm — NKE Form 10-K FY2025 (filed with SEC, fiscal year ended 5/31/2025); FY2025 revenue down 10% YoY per company earnings release.</t>
        </is>
      </c>
    </row>
    <row r="7" ht="45" customHeight="1">
      <c r="A7" s="54" t="inlineStr">
        <is>
          <t>SOURCED</t>
        </is>
      </c>
      <c r="B7" s="4" t="inlineStr">
        <is>
          <t>Cost of sales, gross margin FY24A/FY25A</t>
        </is>
      </c>
      <c r="C7" s="53" t="inlineStr">
        <is>
          <t>COGS $28,406mm / $26,519mm; gross margin 44.6% / 42.7% — NKE FY2025 10-K MD&amp;A.</t>
        </is>
      </c>
    </row>
    <row r="8" ht="45" customHeight="1">
      <c r="A8" s="54" t="inlineStr">
        <is>
          <t>SOURCED</t>
        </is>
      </c>
      <c r="B8" s="4" t="inlineStr">
        <is>
          <t>Demand creation &amp; operating overhead expense</t>
        </is>
      </c>
      <c r="C8" s="53" t="inlineStr">
        <is>
          <t>$4,285mm+$12,291mm (FY24) / $4,689mm+$11,399mm (FY25) — NKE FY2025 10-K.</t>
        </is>
      </c>
    </row>
    <row r="9" ht="45" customHeight="1">
      <c r="A9" s="54" t="inlineStr">
        <is>
          <t>SOURCED</t>
        </is>
      </c>
      <c r="B9" s="4" t="inlineStr">
        <is>
          <t>Effective tax rate FY24A/FY25A</t>
        </is>
      </c>
      <c r="C9" s="53" t="inlineStr">
        <is>
          <t>14.9% / 17.1% — NKE FY2025 10-K MD&amp;A (one-time items called out by management).</t>
        </is>
      </c>
    </row>
    <row r="10" ht="45" customHeight="1">
      <c r="A10" s="54" t="inlineStr">
        <is>
          <t>SOURCED</t>
        </is>
      </c>
      <c r="B10" s="4" t="inlineStr">
        <is>
          <t>Pretax income FY2025A</t>
        </is>
      </c>
      <c r="C10" s="53" t="inlineStr">
        <is>
          <t>$3,885mm — NKE FY2025 full-year earnings release.</t>
        </is>
      </c>
    </row>
    <row r="11" ht="45" customHeight="1">
      <c r="A11" s="54" t="inlineStr">
        <is>
          <t>SOURCED</t>
        </is>
      </c>
      <c r="B11" s="4" t="inlineStr">
        <is>
          <t>Net income &amp; diluted EPS FY2025A</t>
        </is>
      </c>
      <c r="C11" s="53" t="inlineStr">
        <is>
          <t>$3,219mm net income; $2.16 diluted EPS; 1,487.6mm diluted weighted-average shares — NKE FY2025 10-K.</t>
        </is>
      </c>
    </row>
    <row r="12" ht="45" customHeight="1">
      <c r="A12" s="55" t="inlineStr">
        <is>
          <t>ESTIMATE</t>
        </is>
      </c>
      <c r="B12" s="4" t="inlineStr">
        <is>
          <t>Diluted shares FY2024A</t>
        </is>
      </c>
      <c r="C12" s="53" t="inlineStr">
        <is>
          <t>1,510mm — interpolated (exact 10-K figure not retrieved this session); does not affect FY2025A-FY2030E figures, which use sourced/derived share counts.</t>
        </is>
      </c>
    </row>
    <row r="13" ht="45" customHeight="1">
      <c r="A13" s="54" t="inlineStr">
        <is>
          <t>SOURCED</t>
        </is>
      </c>
      <c r="B13" s="4" t="inlineStr">
        <is>
          <t>Balance sheet: cash+ST investments, AR, inventory, AP, total current liabilities</t>
        </is>
      </c>
      <c r="C13" s="53" t="inlineStr">
        <is>
          <t>FY24A: cash $9,860mm, AR $4,427mm, inventory $7,519mm, AP $2,851mm, total current liab. $10,593mm. FY25A: cash $7,464mm, AR $4,717mm, inventory $7,489mm, AP $3,479mm, total current liab. $10,566mm. Source: NKE FY2025 10-K balance sheet (via search synthesis).</t>
        </is>
      </c>
    </row>
    <row r="14" ht="45" customHeight="1">
      <c r="A14" s="54" t="inlineStr">
        <is>
          <t>SOURCED</t>
        </is>
      </c>
      <c r="B14" s="4" t="inlineStr">
        <is>
          <t>Total assets / total equity FY24A / FY25A</t>
        </is>
      </c>
      <c r="C14" s="53" t="inlineStr">
        <is>
          <t>Total assets $38,110mm / $36,579mm; total equity ~$14,430mm / $13,213mm — NKE FY2025 10-K.</t>
        </is>
      </c>
    </row>
    <row r="15" ht="45" customHeight="1">
      <c r="A15" s="55" t="inlineStr">
        <is>
          <t>ESTIMATE</t>
        </is>
      </c>
      <c r="B15" s="4" t="inlineStr">
        <is>
          <t>Net PP&amp;E, other non-current assets/liabilities, prepaid &amp; other current assets</t>
        </is>
      </c>
      <c r="C15" s="53" t="inlineStr">
        <is>
          <t>Estimated / plugged from top-down totals — exact 10-K note-level breakdown not retrieved this session. Balance sheet is forced to tie exactly to the sourced total-asset and total-liability figures above (see 'Memo' rows on Balance Sheet tab).</t>
        </is>
      </c>
    </row>
    <row r="16" ht="45" customHeight="1">
      <c r="A16" s="54" t="inlineStr">
        <is>
          <t>SOURCED</t>
        </is>
      </c>
      <c r="B16" s="4" t="inlineStr">
        <is>
          <t>Long-term debt FY24A/FY25A</t>
        </is>
      </c>
      <c r="C16" s="53" t="inlineStr">
        <is>
          <t>$7,900mm (+$1,000mm current) / $8,000mm (+$0 current) — NKE FY2025 10-K debt footnote (via search synthesis).</t>
        </is>
      </c>
    </row>
    <row r="17" ht="45" customHeight="1">
      <c r="A17" s="55" t="inlineStr">
        <is>
          <t>ESTIMATE</t>
        </is>
      </c>
      <c r="B17" s="4" t="inlineStr">
        <is>
          <t>Blended interest rate on existing debt (3.6%)</t>
        </is>
      </c>
      <c r="C17" s="53" t="inlineStr">
        <is>
          <t>Nike's public bonds historically carry fixed coupons in the ~2.4%-3.9% range; a single blended rate is used as a modeling simplification (exact weighted-average coupon not retrieved this session).</t>
        </is>
      </c>
    </row>
    <row r="18" ht="45" customHeight="1">
      <c r="A18" s="54" t="inlineStr">
        <is>
          <t>SOURCED</t>
        </is>
      </c>
      <c r="B18" s="4" t="inlineStr">
        <is>
          <t>Dividends &amp; buybacks FY24A/FY25A</t>
        </is>
      </c>
      <c r="C18" s="53" t="inlineStr">
        <is>
          <t>FY24: ~$2.2bn dividends / ~$4.3bn buybacks (~$6.4bn total shareholder return). FY25: ~$2.3bn dividends / ~$3.0bn buybacks (~$5.3bn total). Source: NKE FY2025 full-year earnings release commentary.</t>
        </is>
      </c>
    </row>
    <row r="19" ht="45" customHeight="1">
      <c r="A19" s="54" t="inlineStr">
        <is>
          <t>SOURCED</t>
        </is>
      </c>
      <c r="B19" s="4" t="inlineStr">
        <is>
          <t>D&amp;A FY2025A</t>
        </is>
      </c>
      <c r="C19" s="53" t="inlineStr">
        <is>
          <t>$775mm — NKE FY2025 10-K cash flow statement (via search synthesis).</t>
        </is>
      </c>
    </row>
    <row r="20" ht="45" customHeight="1">
      <c r="A20" s="55" t="inlineStr">
        <is>
          <t>ESTIMATE</t>
        </is>
      </c>
      <c r="B20" s="4" t="inlineStr">
        <is>
          <t>D&amp;A FY2024A, capex FY24A/FY25A, stock-based comp FY24A/FY25A</t>
        </is>
      </c>
      <c r="C20" s="53" t="inlineStr">
        <is>
          <t>Estimated from Nike's typical historical run-rates; exact cash-flow-statement line items were not retrieved via available research tools this session. Modeled forward as a % of revenue on the Assumptions tab — flex these cells to test sensitivity.</t>
        </is>
      </c>
    </row>
    <row r="21" ht="45" customHeight="1">
      <c r="A21" s="54" t="inlineStr">
        <is>
          <t>SOURCED</t>
        </is>
      </c>
      <c r="B21" s="4" t="inlineStr">
        <is>
          <t>Current share price, market cap, beta</t>
        </is>
      </c>
      <c r="C21" s="53" t="inlineStr">
        <is>
          <t>$37.03/share; ~$55.4bn market cap; beta 1.09 — market data quoted Sept 9, 2026. Note: NKE is set to exit the S&amp;P 100 index (Sept 21, 2026) after a sustained market-cap decline; the stock is trading near its 52-week low.</t>
        </is>
      </c>
    </row>
    <row r="22" ht="45" customHeight="1">
      <c r="A22" s="54" t="inlineStr">
        <is>
          <t>SOURCED</t>
        </is>
      </c>
      <c r="B22" s="4" t="inlineStr">
        <is>
          <t>52-week trading range</t>
        </is>
      </c>
      <c r="C22" s="53" t="inlineStr">
        <is>
          <t>$36.85 (low) - $76.97 (high) — market data quoted Sept 2026.</t>
        </is>
      </c>
    </row>
    <row r="23" ht="45" customHeight="1">
      <c r="A23" s="54" t="inlineStr">
        <is>
          <t>SOURCED</t>
        </is>
      </c>
      <c r="B23" s="4" t="inlineStr">
        <is>
          <t>10-year U.S. Treasury yield</t>
        </is>
      </c>
      <c r="C23" s="53" t="inlineStr">
        <is>
          <t>~4.80-4.85%, quoted Sept 8, 2026 (used as the DCF risk-free rate).</t>
        </is>
      </c>
    </row>
    <row r="24" ht="45" customHeight="1">
      <c r="A24" s="54" t="inlineStr">
        <is>
          <t>SOURCED</t>
        </is>
      </c>
      <c r="B24" s="4" t="inlineStr">
        <is>
          <t>Nike credit ratings</t>
        </is>
      </c>
      <c r="C24" s="53" t="inlineStr">
        <is>
          <t>S&amp;P A+ / Moody's A2 (downgraded from A1 in Nov-2025 on margin pressure); cited to support the assumed A-rated cost-of-debt spread.</t>
        </is>
      </c>
    </row>
    <row r="25" ht="45" customHeight="1">
      <c r="A25" s="55" t="inlineStr">
        <is>
          <t>ESTIMATE</t>
        </is>
      </c>
      <c r="B25" s="4" t="inlineStr">
        <is>
          <t>Equity risk premium (5.5%)</t>
        </is>
      </c>
      <c r="C25" s="53" t="inlineStr">
        <is>
          <t>Standard long-horizon U.S. ERP assumption (Damodaran-style); not company-specific.</t>
        </is>
      </c>
    </row>
    <row r="26" ht="45" customHeight="1">
      <c r="A26" s="55" t="inlineStr">
        <is>
          <t>ESTIMATE</t>
        </is>
      </c>
      <c r="B26" s="4" t="inlineStr">
        <is>
          <t>Pre-tax cost of debt (5.5%)</t>
        </is>
      </c>
      <c r="C26" s="53" t="inlineStr">
        <is>
          <t>Approximate current market new-issue yield for an A2/A+ industrial credit (~70bp over the 10-yr UST); not Nike's historical embedded coupon.</t>
        </is>
      </c>
    </row>
    <row r="27" ht="45" customHeight="1">
      <c r="A27" s="55" t="inlineStr">
        <is>
          <t>ESTIMATE</t>
        </is>
      </c>
      <c r="B27" s="4" t="inlineStr">
        <is>
          <t>All FY2026E-FY2030E operating assumptions</t>
        </is>
      </c>
      <c r="C27" s="53" t="inlineStr">
        <is>
          <t>Revenue growth, gross margin, SG&amp;A ratio, tax rate, dividend payout, buyback pace, terminal growth rate and exit multiple are analyst assumptions for illustrative purposes — NOT company guidance. See color-coded (blue) input cells on the Assumptions tab for each one, with an inline rationale note in column I.</t>
        </is>
      </c>
    </row>
    <row r="28" ht="45" customHeight="1">
      <c r="A28" s="56" t="inlineStr">
        <is>
          <t>METHODOLOGY</t>
        </is>
      </c>
      <c r="B28" s="4" t="inlineStr">
        <is>
          <t>Working capital &amp; 'flat' balance sheet lines</t>
        </is>
      </c>
      <c r="C28" s="53" t="inlineStr">
        <is>
          <t>AR/Inventory/AP are driven dynamically by DSO/DIO/DPO held at FY2025A levels. Prepaid/other current assets, other non-current assets, accrued/other current liabilities, other long-term liabilities and the current portion of LT debt are held flat in dollar terms across the forecast — a standard simplification when granular footnote detail is unavailable. This keeps the balance sheet fully self-balancing (see 'Balance check' row) without requiring line items this session could not source.</t>
        </is>
      </c>
    </row>
    <row r="29" ht="45" customHeight="1">
      <c r="A29" s="56" t="inlineStr">
        <is>
          <t>METHODOLOGY</t>
        </is>
      </c>
      <c r="B29" s="4" t="inlineStr">
        <is>
          <t>Revolver mechanic &amp; why interest uses beginning balances</t>
        </is>
      </c>
      <c r="C29" s="53" t="inlineStr">
        <is>
          <t>A textbook LBO/3-statement revolver is circular (interest expense depends on the ending balance, which depends on cash flow, which depends on interest expense). This workbook deliberately calculates interest expense and interest income on the BEGINNING-of-period balance instead of the average balance — a standard simplification that breaks the circularity entirely while keeping the revolver draw/paydown and cash-sweep logic fully dynamic. This ensures the file recalculates cleanly with zero formula errors in any spreadsheet application, with no dependency on Excel's iterative-calculation setting. The trade-off is minor: it slightly understates interest expense/income in a period the revolver balance changes sharply, since that period's own draw/paydown isn't reflected in its own interest calculation until the following period. In the base case, Nike's free cash flow is strong enough that the revolver is never drawn — the mechanism is fully built and will activate correctly under a more adverse scenario (e.g., lower margins, higher capex, or higher buybacks in the Assumptions tab).</t>
        </is>
      </c>
    </row>
  </sheetData>
  <mergeCells count="1">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2026-09-10T13:18:41Z</dcterms:created>
  <dcterms:modified xsi:type="dcterms:W3CDTF">2026-09-10T13:18:41Z</dcterms:modified>
</cp:coreProperties>
</file>