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Transaction Assumptions" sheetId="2" state="visible" r:id="rId2"/>
    <sheet name="Sources &amp; Uses" sheetId="3" state="visible" r:id="rId3"/>
    <sheet name="Debt Schedule" sheetId="4" state="visible" r:id="rId4"/>
    <sheet name="Operating Model" sheetId="5" state="visible" r:id="rId5"/>
    <sheet name="Returns Analysis" sheetId="6" state="visible" r:id="rId6"/>
    <sheet name="Sources &amp; Assumptions" sheetId="7" state="visible" r:id="rId7"/>
  </sheets>
  <definedNames/>
  <calcPr calcId="0" fullCalcOnLoad="1" iterate="0"/>
</workbook>
</file>

<file path=xl/styles.xml><?xml version="1.0" encoding="utf-8"?>
<styleSheet xmlns="http://schemas.openxmlformats.org/spreadsheetml/2006/main">
  <numFmts count="6">
    <numFmt numFmtId="164" formatCode="$#,##0.00;($#,##0.00);&quot;-&quot;"/>
    <numFmt numFmtId="165" formatCode="0.0%;(0.0%);&quot;-&quot;"/>
    <numFmt numFmtId="166" formatCode="#,##0.00;(#,##0.00);&quot;-&quot;"/>
    <numFmt numFmtId="167" formatCode="$#,##0;($#,##0);&quot;-&quot;"/>
    <numFmt numFmtId="168" formatCode="0.00&quot;x&quot;"/>
    <numFmt numFmtId="169" formatCode="0.00%;(0.00%);&quot;-&quot;"/>
  </numFmts>
  <fonts count="19">
    <font>
      <name val="Calibri"/>
      <family val="2"/>
      <color theme="1"/>
      <sz val="11"/>
      <scheme val="minor"/>
    </font>
    <font>
      <name val="Arial"/>
      <b val="1"/>
      <color rgb="001F3864"/>
      <sz val="16"/>
    </font>
    <font>
      <name val="Arial"/>
      <i val="1"/>
      <color rgb="00595959"/>
      <sz val="11"/>
    </font>
    <font>
      <name val="Arial"/>
      <i val="1"/>
      <sz val="10"/>
    </font>
    <font>
      <name val="Arial"/>
      <b val="1"/>
      <color rgb="00C00000"/>
      <sz val="10"/>
    </font>
    <font>
      <name val="Arial"/>
      <i val="1"/>
      <color rgb="00C00000"/>
      <sz val="9"/>
    </font>
    <font>
      <name val="Arial"/>
      <b val="1"/>
      <color rgb="00008000"/>
      <sz val="10"/>
    </font>
    <font>
      <name val="Arial"/>
      <color rgb="00000000"/>
      <sz val="10"/>
    </font>
    <font>
      <name val="Arial"/>
      <b val="1"/>
      <sz val="10"/>
    </font>
    <font>
      <name val="Arial"/>
      <color rgb="000000FF"/>
      <sz val="10"/>
    </font>
    <font>
      <name val="Arial"/>
      <color rgb="00008000"/>
      <sz val="10"/>
    </font>
    <font>
      <name val="Arial"/>
      <b val="1"/>
      <color rgb="001F3864"/>
      <sz val="10"/>
    </font>
    <font>
      <name val="Arial"/>
      <i val="1"/>
      <color rgb="00808080"/>
      <sz val="9"/>
    </font>
    <font>
      <name val="Arial"/>
      <b val="1"/>
      <color rgb="00FFFFFF"/>
      <sz val="10"/>
    </font>
    <font>
      <name val="Arial"/>
      <i val="1"/>
      <color rgb="00A6A6A6"/>
      <sz val="9"/>
    </font>
    <font>
      <name val="Arial"/>
      <i val="1"/>
      <color rgb="00595959"/>
      <sz val="9"/>
    </font>
    <font>
      <name val="Arial"/>
      <b val="1"/>
      <color rgb="000000FF"/>
      <sz val="10"/>
    </font>
    <font>
      <name val="Arial"/>
      <b val="1"/>
      <color rgb="00BF8F00"/>
      <sz val="10"/>
    </font>
    <font>
      <name val="Arial"/>
      <b val="1"/>
      <color rgb="007030A0"/>
      <sz val="10"/>
    </font>
  </fonts>
  <fills count="6">
    <fill>
      <patternFill/>
    </fill>
    <fill>
      <patternFill patternType="gray125"/>
    </fill>
    <fill>
      <patternFill patternType="solid">
        <fgColor rgb="00FFFF00"/>
      </patternFill>
    </fill>
    <fill>
      <patternFill patternType="solid">
        <fgColor rgb="00D9E1F2"/>
      </patternFill>
    </fill>
    <fill>
      <patternFill patternType="solid">
        <fgColor rgb="00FFF2CC"/>
      </patternFill>
    </fill>
    <fill>
      <patternFill patternType="solid">
        <fgColor rgb="001F3864"/>
      </patternFill>
    </fill>
  </fills>
  <borders count="2">
    <border>
      <left/>
      <right/>
      <top/>
      <bottom/>
      <diagonal/>
    </border>
    <border>
      <top style="thin">
        <color rgb="00000000"/>
      </top>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7" fillId="2" borderId="0" pivotButton="0" quotePrefix="0" xfId="0"/>
    <xf numFmtId="0" fontId="11" fillId="3" borderId="0" pivotButton="0" quotePrefix="0" xfId="0"/>
    <xf numFmtId="164" fontId="9" fillId="4" borderId="0" pivotButton="0" quotePrefix="0" xfId="0"/>
    <xf numFmtId="165" fontId="9" fillId="4" borderId="0" pivotButton="0" quotePrefix="0" xfId="0"/>
    <xf numFmtId="164" fontId="8" fillId="2" borderId="0" pivotButton="0" quotePrefix="0" xfId="0"/>
    <xf numFmtId="166" fontId="9" fillId="4" borderId="0" pivotButton="0" quotePrefix="0" xfId="0"/>
    <xf numFmtId="167" fontId="9" fillId="4" borderId="0" pivotButton="0" quotePrefix="0" xfId="0"/>
    <xf numFmtId="167" fontId="10" fillId="0" borderId="0" pivotButton="0" quotePrefix="0" xfId="0"/>
    <xf numFmtId="168" fontId="9" fillId="4" borderId="0" pivotButton="0" quotePrefix="0" xfId="0"/>
    <xf numFmtId="168" fontId="8" fillId="0" borderId="0" pivotButton="0" quotePrefix="0" xfId="0"/>
    <xf numFmtId="169" fontId="9" fillId="4" borderId="0" pivotButton="0" quotePrefix="0" xfId="0"/>
    <xf numFmtId="1" fontId="9" fillId="4" borderId="0" pivotButton="0" quotePrefix="0" xfId="0"/>
    <xf numFmtId="0" fontId="8" fillId="3" borderId="0" pivotButton="0" quotePrefix="0" xfId="0"/>
    <xf numFmtId="0" fontId="0" fillId="3" borderId="0" pivotButton="0" quotePrefix="0" xfId="0"/>
    <xf numFmtId="167" fontId="0" fillId="0" borderId="0" pivotButton="0" quotePrefix="0" xfId="0"/>
    <xf numFmtId="167" fontId="9" fillId="0" borderId="0" pivotButton="0" quotePrefix="0" xfId="0"/>
    <xf numFmtId="167" fontId="8" fillId="0" borderId="1" pivotButton="0" quotePrefix="0" xfId="0"/>
    <xf numFmtId="167" fontId="0" fillId="3" borderId="0" pivotButton="0" quotePrefix="0" xfId="0"/>
    <xf numFmtId="167" fontId="8" fillId="0" borderId="0" pivotButton="0" quotePrefix="0" xfId="0"/>
    <xf numFmtId="167" fontId="8" fillId="2" borderId="0" pivotButton="0" quotePrefix="0" xfId="0"/>
    <xf numFmtId="167" fontId="12" fillId="0" borderId="0" pivotButton="0" quotePrefix="0" xfId="0"/>
    <xf numFmtId="167" fontId="7" fillId="0" borderId="0" pivotButton="0" quotePrefix="0" xfId="0"/>
    <xf numFmtId="168" fontId="10" fillId="0" borderId="0" pivotButton="0" quotePrefix="0" xfId="0"/>
    <xf numFmtId="165" fontId="7" fillId="0" borderId="0" pivotButton="0" quotePrefix="0" xfId="0"/>
    <xf numFmtId="0" fontId="13" fillId="5" borderId="0" applyAlignment="1" pivotButton="0" quotePrefix="0" xfId="0">
      <alignment horizontal="center" wrapText="1"/>
    </xf>
    <xf numFmtId="0" fontId="14" fillId="0" borderId="0" pivotButton="0" quotePrefix="0" xfId="0"/>
    <xf numFmtId="165" fontId="0" fillId="0" borderId="0" pivotButton="0" quotePrefix="0" xfId="0"/>
    <xf numFmtId="165" fontId="10" fillId="0" borderId="0" pivotButton="0" quotePrefix="0" xfId="0"/>
    <xf numFmtId="169" fontId="10" fillId="0" borderId="0" pivotButton="0" quotePrefix="0" xfId="0"/>
    <xf numFmtId="168" fontId="8" fillId="2" borderId="0" pivotButton="0" quotePrefix="0" xfId="0"/>
    <xf numFmtId="165" fontId="8" fillId="2" borderId="0" pivotButton="0" quotePrefix="0" xfId="0"/>
    <xf numFmtId="168" fontId="8" fillId="3" borderId="0" pivotButton="0" quotePrefix="0" xfId="0"/>
    <xf numFmtId="0" fontId="15" fillId="0" borderId="0" pivotButton="0" quotePrefix="0" xfId="0"/>
    <xf numFmtId="0" fontId="0" fillId="0" borderId="0" applyAlignment="1" pivotButton="0" quotePrefix="0" xfId="0">
      <alignment wrapText="1"/>
    </xf>
    <xf numFmtId="165" fontId="8" fillId="3" borderId="0" pivotButton="0" quotePrefix="0" xfId="0"/>
    <xf numFmtId="0" fontId="0" fillId="0" borderId="0" applyAlignment="1" pivotButton="0" quotePrefix="0" xfId="0">
      <alignment vertical="top" wrapText="1"/>
    </xf>
    <xf numFmtId="0" fontId="13" fillId="5" borderId="0" pivotButton="0" quotePrefix="0" xfId="0"/>
    <xf numFmtId="0" fontId="16" fillId="0" borderId="0" pivotButton="0" quotePrefix="0" xfId="0"/>
    <xf numFmtId="0" fontId="17" fillId="0" borderId="0" pivotButton="0" quotePrefix="0" xfId="0"/>
    <xf numFmtId="0" fontId="1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Model Author</author>
  </authors>
  <commentList>
    <comment ref="C5" authorId="0" shapeId="0">
      <text>
        <t>Source: Cracker Barrel fiscal 2025 full-year earnings release — total revenue $3.48bn.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C21"/>
  <sheetViews>
    <sheetView workbookViewId="0">
      <selection activeCell="A1" sqref="A1"/>
    </sheetView>
  </sheetViews>
  <sheetFormatPr baseColWidth="8" defaultRowHeight="15"/>
  <cols>
    <col width="4" customWidth="1" min="1" max="1"/>
    <col width="46" customWidth="1" min="2" max="2"/>
    <col width="60" customWidth="1" min="3" max="3"/>
    <col width="16" customWidth="1" min="4" max="4"/>
    <col width="16" customWidth="1" min="5" max="5"/>
  </cols>
  <sheetData>
    <row r="2">
      <c r="B2" s="1" t="inlineStr">
        <is>
          <t>Project Cracker Barrel — Hypothetical Sponsor LBO</t>
        </is>
      </c>
    </row>
    <row r="3">
      <c r="B3" s="2" t="inlineStr">
        <is>
          <t>Leveraged Buyout of Cracker Barrel Old Country Store, Inc. (NASDAQ: CBRL)</t>
        </is>
      </c>
    </row>
    <row r="5">
      <c r="B5" s="3" t="inlineStr">
        <is>
          <t>Fiscal year end: ~late July/early Aug   |   Sector: Family Dining / Restaurants   |   $ in millions unless noted</t>
        </is>
      </c>
    </row>
    <row r="7">
      <c r="B7" s="4" t="inlineStr">
        <is>
          <t>IMPORTANT: This is a HYPOTHETICAL, illustrative transaction built on CBRL's real reported financials.</t>
        </is>
      </c>
    </row>
    <row r="8">
      <c r="B8" s="5" t="inlineStr">
        <is>
          <t>No such buyout has been announced. Not investment advice. See Sources &amp; Assumptions for every citation/estimate.</t>
        </is>
      </c>
    </row>
    <row r="10">
      <c r="B10" s="6" t="inlineStr">
        <is>
          <t>Transaction Assumptions</t>
        </is>
      </c>
      <c r="C10" s="7" t="inlineStr">
        <is>
          <t>Entry, financing, operating &amp; exit assumptions in one place</t>
        </is>
      </c>
    </row>
    <row r="11">
      <c r="B11" s="6" t="inlineStr">
        <is>
          <t>Sources &amp; Uses</t>
        </is>
      </c>
      <c r="C11" s="7" t="inlineStr">
        <is>
          <t>Purchase price build, financing sources, and uses of funds at close</t>
        </is>
      </c>
    </row>
    <row r="12">
      <c r="B12" s="6" t="inlineStr">
        <is>
          <t>Debt Schedule</t>
        </is>
      </c>
      <c r="C12" s="7" t="inlineStr">
        <is>
          <t>4-tranche debt stack (Revolver/TLA/TLB/Notes) with mandatory amortization + a dynamic cash-flow sweep</t>
        </is>
      </c>
    </row>
    <row r="13">
      <c r="B13" s="6" t="inlineStr">
        <is>
          <t>Operating Model</t>
        </is>
      </c>
      <c r="C13" s="7" t="inlineStr">
        <is>
          <t>5-year post-LBO income statement &amp; free-cash-flow build</t>
        </is>
      </c>
    </row>
    <row r="14">
      <c r="B14" s="6" t="inlineStr">
        <is>
          <t>Returns Analysis</t>
        </is>
      </c>
      <c r="C14" s="7" t="inlineStr">
        <is>
          <t>Exit equity value, IRR/MOIC, and 2-way sensitivity tables</t>
        </is>
      </c>
    </row>
    <row r="15">
      <c r="B15" s="6" t="inlineStr">
        <is>
          <t>Sources &amp; Assumptions</t>
        </is>
      </c>
      <c r="C15" s="7" t="inlineStr">
        <is>
          <t>Full citation list and explicit disclosure of every estimated input</t>
        </is>
      </c>
    </row>
    <row r="17">
      <c r="B17" s="8" t="inlineStr">
        <is>
          <t>Color legend:</t>
        </is>
      </c>
    </row>
    <row r="18">
      <c r="B18" s="9" t="inlineStr">
        <is>
          <t>Blue text</t>
        </is>
      </c>
      <c r="C18" t="inlineStr">
        <is>
          <t>hardcoded input / sourced actual</t>
        </is>
      </c>
    </row>
    <row r="19">
      <c r="B19" s="7" t="inlineStr">
        <is>
          <t>Black text</t>
        </is>
      </c>
      <c r="C19" t="inlineStr">
        <is>
          <t>formula (same-sheet)</t>
        </is>
      </c>
    </row>
    <row r="20">
      <c r="B20" s="10" t="inlineStr">
        <is>
          <t>Green text</t>
        </is>
      </c>
      <c r="C20" t="inlineStr">
        <is>
          <t>formula linking to another sheet</t>
        </is>
      </c>
    </row>
    <row r="21">
      <c r="B21" s="11" t="inlineStr">
        <is>
          <t>Yellow fill</t>
        </is>
      </c>
      <c r="C21" t="inlineStr">
        <is>
          <t>key output / key assumption cell</t>
        </is>
      </c>
    </row>
  </sheetData>
  <pageMargins left="0.75" right="0.75" top="1" bottom="1" header="0.5" footer="0.5"/>
</worksheet>
</file>

<file path=xl/worksheets/sheet2.xml><?xml version="1.0" encoding="utf-8"?>
<s:worksheet xmlns:s="http://schemas.openxmlformats.org/spreadsheetml/2006/main">
  <s:sheetPr>
    <s:outlinePr summaryBelow="1" summaryRight="1"/>
    <s:pageSetUpPr/>
  </s:sheetPr>
  <s:dimension ref="A1:I38"/>
  <s:sheetViews>
    <s:sheetView workbookViewId="0">
      <s:pane xSplit="2" ySplit="3" topLeftCell="C4" activePane="bottomRight" state="frozen"/>
      <s:selection pane="topRight"/>
      <s:selection pane="bottomLeft"/>
      <s:selection pane="bottomRight" activeCell="A1" sqref="A1"/>
    </s:sheetView>
  </s:sheetViews>
  <s:sheetFormatPr baseColWidth="8" defaultRowHeight="15"/>
  <s:cols>
    <s:col width="46" customWidth="1" min="1" max="1"/>
    <s:col width="14" customWidth="1" min="2" max="2"/>
    <s:col width="14" customWidth="1" min="3" max="3"/>
    <s:col width="14" customWidth="1" min="4" max="4"/>
    <s:col width="14" customWidth="1" min="5" max="5"/>
    <s:col width="14" customWidth="1" min="6" max="6"/>
    <s:col width="14" customWidth="1" min="7" max="7"/>
    <s:col width="50" customWidth="1" min="8" max="8"/>
  </s:cols>
  <s:sheetData>
    <s:row r="1">
      <s:c r="A1" s="1" t="inlineStr">
        <s:is>
          <s:t>Transaction Assumptions</s:t>
        </s:is>
      </s:c>
    </s:row>
    <s:row r="3">
      <s:c r="A3" s="12" t="inlineStr">
        <s:is>
          <s:t>ENTRY ASSUMPTIONS</s:t>
        </s:is>
      </s:c>
      <s:c r="B3" s="12" t="n"/>
      <s:c r="C3" s="12" t="n"/>
      <s:c r="D3" s="12" t="n"/>
      <s:c r="E3" s="12" t="n"/>
      <s:c r="F3" s="12" t="n"/>
      <s:c r="G3" s="12" t="n"/>
      <s:c r="H3" s="12" t="n"/>
    </s:row>
    <s:row r="4">
      <s:c r="A4" s="7" t="inlineStr">
        <s:is>
          <s:t>Current share price (undisturbed)</s:t>
        </s:is>
      </s:c>
      <s:c r="C4" s="13" t="n">
        <s:v>54.69</s:v>
      </s:c>
      <s:c r="I4" t="inlineStr">
        <s:is>
          <s:t>Source: CBRL closing price, referenced in fiscal 2025 earnings coverage (2026).</s:t>
        </s:is>
      </s:c>
    </s:row>
    <s:row r="5">
      <s:c r="A5" s="7" t="inlineStr">
        <s:is>
          <s:t>Offer premium to undisturbed price</s:t>
        </s:is>
      </s:c>
      <s:c r="C5" s="14" t="n">
        <s:v>0.3</s:v>
      </s:c>
      <s:c r="I5" t="inlineStr">
        <s:is>
          <s:t>Assumption: in line with observed premiums in recent going-private restaurant/retail transactions (typically 25%-40%).</s:t>
        </s:is>
      </s:c>
    </s:row>
    <s:row r="6">
      <s:c r="A6" s="8" t="inlineStr">
        <s:is>
          <s:t>Offer price per share</s:t>
        </s:is>
      </s:c>
      <s:c r="C6" s="15">
        <s:f>C4*(1+C5)</s:f>
        <s:v>71.097</s:v>
      </s:c>
    </s:row>
    <s:row r="7">
      <s:c r="A7" s="7" t="inlineStr">
        <s:is>
          <s:t>Diluted shares outstanding, mm</s:t>
        </s:is>
      </s:c>
      <s:c r="C7" s="16" t="n">
        <s:v>22.35</s:v>
      </s:c>
      <s:c r="I7" t="inlineStr">
        <s:is>
          <s:t>Source: CBRL shares outstanding, 2025/2026 market data.</s:t>
        </s:is>
      </s:c>
    </s:row>
    <s:row r="8">
      <s:c r="A8" s="7" t="inlineStr">
        <s:is>
          <s:t>FY2025A Adjusted EBITDA</s:t>
        </s:is>
      </s:c>
      <s:c r="C8" s="17" t="n">
        <s:v>224.3</s:v>
      </s:c>
      <s:c r="I8" t="inlineStr">
        <s:is>
          <s:t>Source: Cracker Barrel Q4/full-year fiscal 2025 earnings release — 'Adjusted EBITDA was $224.3mm, +9% YoY.'</s:t>
        </s:is>
      </s:c>
    </s:row>
    <s:row r="9">
      <s:c r="A9" s="7" t="inlineStr">
        <s:is>
          <s:t>Existing net debt at close (refinanced)</s:t>
        </s:is>
      </s:c>
      <s:c r="C9" s="18">
        <s:f>'Sources &amp; Uses'!B22</s:f>
        <s:v>472.6</s:v>
      </s:c>
    </s:row>
    <s:row r="11">
      <s:c r="A11" s="12" t="inlineStr">
        <s:is>
          <s:t>FINANCING ASSUMPTIONS (entry leverage, $mm, as multiple of FY25A Adj. EBITDA)</s:t>
        </s:is>
      </s:c>
      <s:c r="B11" s="12" t="n"/>
      <s:c r="C11" s="12" t="n"/>
      <s:c r="D11" s="12" t="n"/>
      <s:c r="E11" s="12" t="n"/>
      <s:c r="F11" s="12" t="n"/>
      <s:c r="G11" s="12" t="n"/>
      <s:c r="H11" s="12" t="n"/>
    </s:row>
    <s:row r="12">
      <s:c r="A12" s="7" t="inlineStr">
        <s:is>
          <s:t>Revolver — capacity (undrawn at close)</s:t>
        </s:is>
      </s:c>
      <s:c r="C12" s="17" t="n">
        <s:v>150</s:v>
      </s:c>
    </s:row>
    <s:row r="13">
      <s:c r="A13" s="7" t="inlineStr">
        <s:is>
          <s:t>Term Loan A — leverage (x EBITDA)</s:t>
        </s:is>
      </s:c>
      <s:c r="C13" s="19" t="n">
        <s:v>1</s:v>
      </s:c>
      <s:c r="I13" t="inlineStr">
        <s:is>
          <s:t>ESTIMATE — illustrative sponsor capital structure. ~4.5x total leverage is a moderate, defensible level for a real-estate-heavy restaurant chain with owned property (~$960mm net PP&amp;E) supporting incremental debt capacity. Flex these cells on the Transaction Assumptions tab to stress-test a more/less aggressive structure.</s:t>
        </s:is>
      </s:c>
    </s:row>
    <s:row r="14">
      <s:c r="A14" s="7" t="inlineStr">
        <s:is>
          <s:t>Term Loan B — leverage (x EBITDA)</s:t>
        </s:is>
      </s:c>
      <s:c r="C14" s="19" t="n">
        <s:v>2</s:v>
      </s:c>
    </s:row>
    <s:row r="15">
      <s:c r="A15" s="7" t="inlineStr">
        <s:is>
          <s:t>Senior Notes — leverage (x EBITDA)</s:t>
        </s:is>
      </s:c>
      <s:c r="C15" s="19" t="n">
        <s:v>1.5</s:v>
      </s:c>
    </s:row>
    <s:row r="16">
      <s:c r="A16" s="8" t="inlineStr">
        <s:is>
          <s:t>Total leverage (x EBITDA)</s:t>
        </s:is>
      </s:c>
      <s:c r="C16" s="20">
        <s:f>C13+C14+C15</s:f>
        <s:v>4.5</s:v>
      </s:c>
    </s:row>
    <s:row r="17">
      <s:c r="A17" s="7" t="inlineStr">
        <s:is>
          <s:t>Term Loan A rate (SOFR + spread)</s:t>
        </s:is>
      </s:c>
      <s:c r="C17" s="21" t="n">
        <s:v>0.07000000000000001</s:v>
      </s:c>
      <s:c r="I17" t="inlineStr">
        <s:is>
          <s:t>ESTIMATE — illustrative spreads for a ~4.5x total-leverage sponsor deal in the current (Sept-2026) high-rate environment; SOFR proxy ~4.3%.</s:t>
        </s:is>
      </s:c>
    </s:row>
    <s:row r="18">
      <s:c r="A18" s="7" t="inlineStr">
        <s:is>
          <s:t>Term Loan B rate (SOFR + spread)</s:t>
        </s:is>
      </s:c>
      <s:c r="C18" s="21" t="n">
        <s:v>0.0775</s:v>
      </s:c>
    </s:row>
    <s:row r="19">
      <s:c r="A19" s="7" t="inlineStr">
        <s:is>
          <s:t>Senior Notes fixed rate</s:t>
        </s:is>
      </s:c>
      <s:c r="C19" s="21" t="n">
        <s:v>0.08500000000000001</s:v>
      </s:c>
    </s:row>
    <s:row r="20">
      <s:c r="A20" s="7" t="inlineStr">
        <s:is>
          <s:t>Revolver rate (SOFR + spread)</s:t>
        </s:is>
      </s:c>
      <s:c r="C20" s="21" t="n">
        <s:v>0.0675</s:v>
      </s:c>
    </s:row>
    <s:row r="21">
      <s:c r="A21" s="7" t="inlineStr">
        <s:is>
          <s:t>Term Loan A mandatory amortization, %/yr</s:t>
        </s:is>
      </s:c>
      <s:c r="C21" s="14" t="n">
        <s:v>0.05</s:v>
      </s:c>
    </s:row>
    <s:row r="22">
      <s:c r="A22" s="7" t="inlineStr">
        <s:is>
          <s:t>Term Loan B mandatory amortization, %/yr</s:t>
        </s:is>
      </s:c>
      <s:c r="C22" s="14" t="n">
        <s:v>0.01</s:v>
      </s:c>
    </s:row>
    <s:row r="23">
      <s:c r="A23" s="7" t="inlineStr">
        <s:is>
          <s:t>Cash flow sweep, % of excess FCF (to TLB, then TLA)</s:t>
        </s:is>
      </s:c>
      <s:c r="C23" s="14" t="n">
        <s:v>0.9</s:v>
      </s:c>
    </s:row>
    <s:row r="24">
      <s:c r="A24" s="7" t="inlineStr">
        <s:is>
          <s:t>Minimum cash balance</s:t>
        </s:is>
      </s:c>
      <s:c r="C24" s="17" t="n">
        <s:v>20</s:v>
      </s:c>
    </s:row>
    <s:row r="25">
      <s:c r="A25" s="7" t="inlineStr">
        <s:is>
          <s:t>Transaction fees &amp; financing fees, % of total transaction value</s:t>
        </s:is>
      </s:c>
      <s:c r="C25" s="14" t="n">
        <s:v>0.02</s:v>
      </s:c>
    </s:row>
    <s:row r="27">
      <s:c r="A27" s="12" t="inlineStr">
        <s:is>
          <s:t>OPERATING ASSUMPTIONS (5-year hold)</s:t>
        </s:is>
      </s:c>
      <s:c r="B27" s="12" t="n"/>
      <s:c r="C27" s="12" t="n"/>
      <s:c r="D27" s="12" t="n"/>
      <s:c r="E27" s="12" t="n"/>
      <s:c r="F27" s="12" t="n"/>
      <s:c r="G27" s="12" t="n"/>
      <s:c r="H27" s="12" t="n"/>
    </s:row>
    <s:row r="28">
      <s:c r="A28" s="7" t="inlineStr">
        <s:is>
          <s:t>Revenue growth, % YoY</s:t>
        </s:is>
      </s:c>
      <s:c r="D28" s="14" t="n">
        <s:v>0.025</s:v>
      </s:c>
      <s:c r="E28" s="14" t="n">
        <s:v>0.03</s:v>
      </s:c>
      <s:c r="F28" s="14" t="n">
        <s:v>0.03</s:v>
      </s:c>
      <s:c r="G28" s="14" t="n">
        <s:v>0.035</s:v>
      </s:c>
      <s:c r="H28" s="14" t="n">
        <s:v>0.035</s:v>
      </s:c>
      <s:c r="I28" t="inlineStr">
        <s:is>
          <s:t>Assumption: low-single-digit same-store-sales-driven growth, in line with CBRL's recent 0.4%-0.8% reported growth plus modest sponsor-led initiatives.</s:t>
        </s:is>
      </s:c>
    </s:row>
    <s:row r="29">
      <s:c r="A29" s="7" t="inlineStr">
        <s:is>
          <s:t>EBITDA margin, % of revenue</s:t>
        </s:is>
      </s:c>
      <s:c r="D29" s="21" t="n">
        <s:v>0.066</s:v>
      </s:c>
      <s:c r="E29" s="21" t="n">
        <s:v>0.06900000000000001</s:v>
      </s:c>
      <s:c r="F29" s="21" t="n">
        <s:v>0.07199999999999999</s:v>
      </s:c>
      <s:c r="G29" s="21" t="n">
        <s:v>0.075</s:v>
      </s:c>
      <s:c r="H29" s="21" t="n">
        <s:v>0.078</s:v>
      </s:c>
      <s:c r="I29" t="inlineStr">
        <s:is>
          <s:t>Assumption: margin expansion from FY25A 6.45% (224.3/3,480) toward ~7.8% by Year 5 via sponsor-driven cost initiatives (labor optimization, purchasing scale, G&amp;A reduction) typical of a post-LBO 100-day value-creation plan.</s:t>
        </s:is>
      </s:c>
    </s:row>
    <s:row r="30">
      <s:c r="A30" s="7" t="inlineStr">
        <s:is>
          <s:t>D&amp;A, % of revenue</s:t>
        </s:is>
      </s:c>
      <s:c r="D30" s="14" t="n">
        <s:v>0.033</s:v>
      </s:c>
      <s:c r="E30" s="14" t="n">
        <s:v>0.033</s:v>
      </s:c>
      <s:c r="F30" s="14" t="n">
        <s:v>0.033</s:v>
      </s:c>
      <s:c r="G30" s="14" t="n">
        <s:v>0.033</s:v>
      </s:c>
      <s:c r="H30" s="14" t="n">
        <s:v>0.033</s:v>
      </s:c>
      <s:c r="I30" t="inlineStr">
        <s:is>
          <s:t>ESTIMATE — based off FY24A D&amp;A of $111.0mm / $3,437mm revenue = 3.2%, rounded up slightly for continued capex reinvestment.</s:t>
        </s:is>
      </s:c>
    </s:row>
    <s:row r="31">
      <s:c r="A31" s="7" t="inlineStr">
        <s:is>
          <s:t>Capital expenditures, % of revenue</s:t>
        </s:is>
      </s:c>
      <s:c r="D31" s="14" t="n">
        <s:v>0.037</s:v>
      </s:c>
      <s:c r="E31" s="14" t="n">
        <s:v>0.037</s:v>
      </s:c>
      <s:c r="F31" s="14" t="n">
        <s:v>0.037</s:v>
      </s:c>
      <s:c r="G31" s="14" t="n">
        <s:v>0.037</s:v>
      </s:c>
      <s:c r="H31" s="14" t="n">
        <s:v>0.037</s:v>
      </s:c>
      <s:c r="I31" t="inlineStr">
        <s:is>
          <s:t>Source basis: FY24A capex of $127.5mm / $3,437mm revenue = 3.7% (sourced); held flat.</s:t>
        </s:is>
      </s:c>
    </s:row>
    <s:row r="32">
      <s:c r="A32" s="7" t="inlineStr">
        <s:is>
          <s:t>Increase in NWC, % of revenue growth</s:t>
        </s:is>
      </s:c>
      <s:c r="D32" s="14" t="n">
        <s:v>0.02</s:v>
      </s:c>
      <s:c r="E32" s="14" t="n">
        <s:v>0.02</s:v>
      </s:c>
      <s:c r="F32" s="14" t="n">
        <s:v>0.02</s:v>
      </s:c>
      <s:c r="G32" s="14" t="n">
        <s:v>0.02</s:v>
      </s:c>
      <s:c r="H32" s="14" t="n">
        <s:v>0.02</s:v>
      </s:c>
      <s:c r="I32" t="inlineStr">
        <s:is>
          <s:t>ESTIMATE — simplified NWC drag, applied to the dollar change in revenue (restaurant NWC needs are low; CBRL carries low receivables/inventory).</s:t>
        </s:is>
      </s:c>
    </s:row>
    <s:row r="33">
      <s:c r="A33" s="7" t="inlineStr">
        <s:is>
          <s:t>Cash tax rate</s:t>
        </s:is>
      </s:c>
      <s:c r="D33" s="14" t="n">
        <s:v>0.26</s:v>
      </s:c>
      <s:c r="E33" s="14" t="n">
        <s:v>0.26</s:v>
      </s:c>
      <s:c r="F33" s="14" t="n">
        <s:v>0.26</s:v>
      </s:c>
      <s:c r="G33" s="14" t="n">
        <s:v>0.26</s:v>
      </s:c>
      <s:c r="H33" s="14" t="n">
        <s:v>0.26</s:v>
      </s:c>
      <s:c r="I33" t="inlineStr">
        <s:is>
          <s:t>Blended U.S. federal + state statutory-ish rate; higher than FY25A's unusually low 22.9% effective rate.</s:t>
        </s:is>
      </s:c>
    </s:row>
    <s:row r="35">
      <s:c r="A35" s="12" t="inlineStr">
        <s:is>
          <s:t>EXIT ASSUMPTIONS</s:t>
        </s:is>
      </s:c>
      <s:c r="B35" s="12" t="n"/>
      <s:c r="C35" s="12" t="n"/>
      <s:c r="D35" s="12" t="n"/>
      <s:c r="E35" s="12" t="n"/>
      <s:c r="F35" s="12" t="n"/>
      <s:c r="G35" s="12" t="n"/>
      <s:c r="H35" s="12" t="n"/>
    </s:row>
    <s:row r="36">
      <s:c r="A36" s="7" t="inlineStr">
        <s:is>
          <s:t>Exit year (hold period, years)</s:t>
        </s:is>
      </s:c>
      <s:c r="C36" s="22" t="n">
        <s:v>5</s:v>
      </s:c>
    </s:row>
    <s:row r="37">
      <s:c r="A37" s="7" t="inlineStr">
        <s:is>
          <s:t>Exit EV/EBITDA multiple</s:t>
        </s:is>
      </s:c>
      <s:c r="C37" s="19" t="n">
        <s:v>9.5</s:v>
      </s:c>
      <s:c r="I37" t="inlineStr">
        <s:is>
          <s:t>Assumption: modest re-rating vs. the implied entry multiple (~9.2x), reflecting the margin improvement delivered over the hold period — not aggressive multiple arbitrage.</s:t>
        </s:is>
      </s:c>
    </s:row>
    <s:row r="38">
      <s:c r="A38" s="7" t="inlineStr">
        <s:is>
          <s:t>Exit transaction fees, % of exit EV</s:t>
        </s:is>
      </s:c>
      <s:c r="C38" s="14" t="n">
        <s:v>0.015</s:v>
      </s:c>
    </s:row>
  </s:sheetData>
  <s:pageMargins left="0.75" right="0.75" top="1" bottom="1" header="0.5" footer="0.5"/>
</s:worksheet>
</file>

<file path=xl/worksheets/sheet3.xml><?xml version="1.0" encoding="utf-8"?>
<s:worksheet xmlns:s="http://schemas.openxmlformats.org/spreadsheetml/2006/main">
  <s:sheetPr>
    <s:outlinePr summaryBelow="1" summaryRight="1"/>
    <s:pageSetUpPr/>
  </s:sheetPr>
  <s:dimension ref="A1:D25"/>
  <s:sheetViews>
    <s:sheetView workbookViewId="0">
      <s:selection activeCell="A1" sqref="A1"/>
    </s:sheetView>
  </s:sheetViews>
  <s:sheetFormatPr baseColWidth="8" defaultRowHeight="15"/>
  <s:cols>
    <s:col width="40" customWidth="1" min="1" max="1"/>
    <s:col width="14" customWidth="1" min="2" max="2"/>
    <s:col width="14" customWidth="1" min="3" max="3"/>
    <s:col width="46" customWidth="1" min="4" max="4"/>
  </s:cols>
  <s:sheetData>
    <s:row r="1">
      <s:c r="A1" s="1" t="inlineStr">
        <s:is>
          <s:t>Sources &amp; Uses of Funds at Close</s:t>
        </s:is>
      </s:c>
    </s:row>
    <s:row r="3">
      <s:c r="A3" s="23" t="inlineStr">
        <s:is>
          <s:t>USES OF FUNDS</s:t>
        </s:is>
      </s:c>
      <s:c r="B3" s="24" t="n"/>
      <s:c r="C3" s="24" t="n"/>
    </s:row>
    <s:row r="4">
      <s:c r="A4" s="7" t="inlineStr">
        <s:is>
          <s:t>Equity purchase price (offer price x diluted shares)</s:t>
        </s:is>
      </s:c>
      <s:c r="B4" s="18">
        <s:f>('Transaction Assumptions'!C6*'Transaction Assumptions'!C7)</s:f>
        <s:v>1589.01795</s:v>
      </s:c>
      <s:c r="C4" s="25" t="n"/>
    </s:row>
    <s:row r="5">
      <s:c r="A5" s="7" t="inlineStr">
        <s:is>
          <s:t>Refinance existing debt (FY2025A convertible notes)</s:t>
        </s:is>
      </s:c>
      <s:c r="B5" s="26" t="n">
        <s:v>484.6</s:v>
      </s:c>
      <s:c r="C5" s="25" t="n"/>
      <s:c r="D5" t="inlineStr">
        <s:is>
          <s:t>Source: CBRL fiscal 2025 earnings release — total debt $484.6mm (0.625% converts due 2026 + 1.75% converts due 2030).</s:t>
        </s:is>
      </s:c>
    </s:row>
    <s:row r="6">
      <s:c r="A6" s="7" t="inlineStr">
        <s:is>
          <s:t>Estimated transaction &amp; financing fees</s:t>
        </s:is>
      </s:c>
      <s:c r="B6" s="18">
        <s:f>(B4+B5)*'Transaction Assumptions'!C25</s:f>
        <s:v>41.472359</s:v>
      </s:c>
      <s:c r="C6" s="25" t="n"/>
    </s:row>
    <s:row r="7">
      <s:c r="A7" s="8" t="inlineStr">
        <s:is>
          <s:t>Total uses</s:t>
        </s:is>
      </s:c>
      <s:c r="B7" s="27">
        <s:f>SUM(B4:B6)</s:f>
        <s:v>2115.0903089999997</s:v>
      </s:c>
      <s:c r="C7" s="25" t="n"/>
    </s:row>
    <s:row r="8">
      <s:c r="C8" s="25" t="n"/>
    </s:row>
    <s:row r="9">
      <s:c r="A9" s="23" t="inlineStr">
        <s:is>
          <s:t>SOURCES OF FUNDS</s:t>
        </s:is>
      </s:c>
      <s:c r="B9" s="24" t="n"/>
      <s:c r="C9" s="28" t="n"/>
    </s:row>
    <s:row r="10">
      <s:c r="A10" s="7" t="inlineStr">
        <s:is>
          <s:t>Revolving credit facility (drawn at close)</s:t>
        </s:is>
      </s:c>
      <s:c r="B10" s="26" t="n">
        <s:v>0</s:v>
      </s:c>
      <s:c r="C10" s="25" t="n"/>
    </s:row>
    <s:row r="11">
      <s:c r="A11" s="7" t="inlineStr">
        <s:is>
          <s:t>Term Loan A</s:t>
        </s:is>
      </s:c>
      <s:c r="B11" s="18">
        <s:f>'Transaction Assumptions'!C13*'Transaction Assumptions'!C8</s:f>
        <s:v>224.3</s:v>
      </s:c>
      <s:c r="C11" s="25" t="n"/>
    </s:row>
    <s:row r="12">
      <s:c r="A12" s="7" t="inlineStr">
        <s:is>
          <s:t>Term Loan B</s:t>
        </s:is>
      </s:c>
      <s:c r="B12" s="18">
        <s:f>'Transaction Assumptions'!C14*'Transaction Assumptions'!C8</s:f>
        <s:v>448.6</s:v>
      </s:c>
      <s:c r="C12" s="25" t="n"/>
    </s:row>
    <s:row r="13">
      <s:c r="A13" s="7" t="inlineStr">
        <s:is>
          <s:t>Senior Notes</s:t>
        </s:is>
      </s:c>
      <s:c r="B13" s="18">
        <s:f>'Transaction Assumptions'!C15*'Transaction Assumptions'!C8</s:f>
        <s:v>336.45000000000005</s:v>
      </s:c>
      <s:c r="C13" s="25" t="n"/>
    </s:row>
    <s:row r="14">
      <s:c r="A14" s="8" t="inlineStr">
        <s:is>
          <s:t>Total new debt</s:t>
        </s:is>
      </s:c>
      <s:c r="B14" s="29">
        <s:f>SUM(B10:B13)</s:f>
        <s:v>1009.3500000000001</s:v>
      </s:c>
      <s:c r="C14" s="25" t="n"/>
    </s:row>
    <s:row r="15">
      <s:c r="A15" s="7" t="inlineStr">
        <s:is>
          <s:t>Cash from target balance sheet used at close</s:t>
        </s:is>
      </s:c>
      <s:c r="B15" s="26" t="n">
        <s:v>12</s:v>
      </s:c>
      <s:c r="C15" s="25" t="n"/>
      <s:c r="D15" t="inlineStr">
        <s:is>
          <s:t>Source basis: CBRL FY2024A cash of $12.0mm (FY2025A figure not separately retrieved this session; held flat as a reasonable proxy).</s:t>
        </s:is>
      </s:c>
    </s:row>
    <s:row r="16">
      <s:c r="A16" s="8" t="inlineStr">
        <s:is>
          <s:t>Sponsor equity contribution (plug)</s:t>
        </s:is>
      </s:c>
      <s:c r="B16" s="30">
        <s:f>B7-B14-B15</s:f>
        <s:v>1093.7403089999996</s:v>
      </s:c>
      <s:c r="C16" s="25" t="n"/>
    </s:row>
    <s:row r="17">
      <s:c r="A17" s="8" t="inlineStr">
        <s:is>
          <s:t>Total sources</s:t>
        </s:is>
      </s:c>
      <s:c r="B17" s="27">
        <s:f>SUM(B10:B13)+B15+B16</s:f>
        <s:v>2115.0903089999997</s:v>
      </s:c>
      <s:c r="C17" s="25" t="n"/>
    </s:row>
    <s:row r="18">
      <s:c r="A18" s="7" t="inlineStr">
        <s:is>
          <s:t>Check: sources = uses</s:t>
        </s:is>
      </s:c>
      <s:c r="B18" s="31">
        <s:f>B17-B7</s:f>
        <s:v>0.0</s:v>
      </s:c>
      <s:c r="C18" s="25" t="n"/>
    </s:row>
    <s:row r="19">
      <s:c r="C19" s="25" t="n"/>
    </s:row>
    <s:row r="20">
      <s:c r="A20" s="23" t="inlineStr">
        <s:is>
          <s:t>TRANSACTION MULTIPLES &amp; CAPITALIZATION</s:t>
        </s:is>
      </s:c>
      <s:c r="B20" s="24" t="n"/>
      <s:c r="C20" s="28" t="n"/>
    </s:row>
    <s:row r="21">
      <s:c r="A21" s="7" t="inlineStr">
        <s:is>
          <s:t>Implied transaction enterprise value</s:t>
        </s:is>
      </s:c>
      <s:c r="B21" s="32">
        <s:f>B4+B5-B15</s:f>
        <s:v>2061.61795</s:v>
      </s:c>
      <s:c r="C21" s="25" t="n"/>
    </s:row>
    <s:row r="22">
      <s:c r="A22" s="7" t="inlineStr">
        <s:is>
          <s:t>Existing net debt assumed / refinanced</s:t>
        </s:is>
      </s:c>
      <s:c r="B22" s="32">
        <s:f>B5-B15</s:f>
        <s:v>472.6</s:v>
      </s:c>
      <s:c r="C22" s="25" t="n"/>
    </s:row>
    <s:row r="23">
      <s:c r="A23" s="7" t="inlineStr">
        <s:is>
          <s:t>Implied entry EV / FY2025A Adj. EBITDA</s:t>
        </s:is>
      </s:c>
      <s:c r="B23" s="33">
        <s:f>B21/'Transaction Assumptions'!C8</s:f>
        <s:v>9.191341729826124</s:v>
      </s:c>
      <s:c r="C23" s="25" t="n"/>
    </s:row>
    <s:row r="24">
      <s:c r="A24" s="7" t="inlineStr">
        <s:is>
          <s:t>Total debt / FY2025A Adj. EBITDA (opening leverage)</s:t>
        </s:is>
      </s:c>
      <s:c r="B24" s="33">
        <s:f>B14/'Transaction Assumptions'!C8</s:f>
        <s:v>4.5</s:v>
      </s:c>
      <s:c r="C24" s="25" t="n"/>
    </s:row>
    <s:row r="25">
      <s:c r="A25" s="7" t="inlineStr">
        <s:is>
          <s:t>Sponsor equity / total capitalization</s:t>
        </s:is>
      </s:c>
      <s:c r="B25" s="34">
        <s:f>B16/B17</s:f>
        <s:v>0.5171128175217788</s:v>
      </s:c>
      <s:c r="C25" s="25" t="n"/>
    </s:row>
  </s:sheetData>
  <s:pageMargins left="0.75" right="0.75" top="1" bottom="1" header="0.5" footer="0.5"/>
</s:worksheet>
</file>

<file path=xl/worksheets/sheet4.xml><?xml version="1.0" encoding="utf-8"?>
<s:worksheet xmlns:s="http://schemas.openxmlformats.org/spreadsheetml/2006/main">
  <s:sheetPr>
    <s:outlinePr summaryBelow="1" summaryRight="1"/>
    <s:pageSetUpPr/>
  </s:sheetPr>
  <s:dimension ref="A1:H43"/>
  <s:sheetViews>
    <s:sheetView workbookViewId="0">
      <s:pane xSplit="2" ySplit="4" topLeftCell="C5" activePane="bottomRight" state="frozen"/>
      <s:selection pane="topRight"/>
      <s:selection pane="bottomLeft"/>
      <s:selection pane="bottomRight" activeCell="A1" sqref="A1"/>
    </s:sheetView>
  </s:sheetViews>
  <s:sheetFormatPr baseColWidth="8" defaultRowHeight="15"/>
  <s:cols>
    <s:col width="46" customWidth="1" min="1" max="1"/>
    <s:col width="15" customWidth="1" min="2" max="2"/>
    <s:col width="15" customWidth="1" min="3" max="3"/>
    <s:col width="15" customWidth="1" min="4" max="4"/>
    <s:col width="15" customWidth="1" min="5" max="5"/>
    <s:col width="15" customWidth="1" min="6" max="6"/>
    <s:col width="15" customWidth="1" min="7" max="7"/>
  </s:cols>
  <s:sheetData>
    <s:row r="1">
      <s:c r="A1" s="1" t="inlineStr">
        <s:is>
          <s:t>Debt Schedule — 4-Tranche Post-LBO Capital Structure</s:t>
        </s:is>
      </s:c>
    </s:row>
    <s:row r="2">
      <s:c r="A2" s="5" t="inlineStr">
        <s:is>
          <s:t>NOTE: Interest expense on each tranche is calculated on its BEGINNING-of-period balance (see Sources &amp; Assumptions) so the mandatory amortization + cash-flow sweep waterfall stays fully dynamic without requiring iterative (circular) calculation.</s:t>
        </s:is>
      </s:c>
    </s:row>
    <s:row r="4">
      <s:c r="C4" s="35" t="inlineStr">
        <s:is>
          <s:t>Entry
(FY2026E)</s:t>
        </s:is>
      </s:c>
      <s:c r="D4" s="35" t="inlineStr">
        <s:is>
          <s:t>Year 1
(FY2027E)</s:t>
        </s:is>
      </s:c>
      <s:c r="E4" s="35" t="inlineStr">
        <s:is>
          <s:t>Year 2
(FY2028E)</s:t>
        </s:is>
      </s:c>
      <s:c r="F4" s="35" t="inlineStr">
        <s:is>
          <s:t>Year 3
(FY2029E)</s:t>
        </s:is>
      </s:c>
      <s:c r="G4" s="35" t="inlineStr">
        <s:is>
          <s:t>Year 4
(FY2030E)</s:t>
        </s:is>
      </s:c>
      <s:c r="H4" s="35" t="inlineStr">
        <s:is>
          <s:t>Year 5 / Exit
(FY2031E)</s:t>
        </s:is>
      </s:c>
    </s:row>
    <s:row r="6">
      <s:c r="A6" s="12" t="inlineStr">
        <s:is>
          <s:t>REVOLVING CREDIT FACILITY</s:t>
        </s:is>
      </s:c>
      <s:c r="B6" s="12" t="n"/>
      <s:c r="C6" s="12" t="n"/>
      <s:c r="D6" s="12" t="n"/>
      <s:c r="E6" s="12" t="n"/>
      <s:c r="F6" s="12" t="n"/>
      <s:c r="G6" s="12" t="n"/>
    </s:row>
    <s:row r="7">
      <s:c r="A7" s="7" t="inlineStr">
        <s:is>
          <s:t>Beginning balance</s:t>
        </s:is>
      </s:c>
      <s:c r="C7" s="26" t="n">
        <s:v>0</s:v>
      </s:c>
      <s:c r="D7" s="32">
        <s:f>C9</s:f>
        <s:v>0.0</s:v>
      </s:c>
      <s:c r="E7" s="32">
        <s:f>D9</s:f>
        <s:v>11.111515000000017</s:v>
      </s:c>
      <s:c r="F7" s="32">
        <s:f>E9</s:f>
        <s:v>3.9985946742500413</s:v>
      </s:c>
      <s:c r="G7" s="32">
        <s:f>F9</s:f>
        <s:v>0.0</s:v>
      </s:c>
      <s:c r="H7" s="32">
        <s:f>G9</s:f>
        <s:v>0.0</s:v>
      </s:c>
    </s:row>
    <s:row r="8">
      <s:c r="A8" s="7" t="inlineStr">
        <s:is>
          <s:t>Draw / (paydown)</s:t>
        </s:is>
      </s:c>
      <s:c r="D8" s="32">
        <s:f>IF(D35&lt;D36,MIN(D36-D35,'Transaction Assumptions'!$C$12-D7),-MIN(D7,MAX(0,D35-D36)))</s:f>
        <s:v>11.111515000000017</s:v>
      </s:c>
      <s:c r="E8" s="32">
        <s:f>IF(E35&lt;E36,MIN(E36-E35,'Transaction Assumptions'!$C$12-E7),-MIN(E7,MAX(0,E35-E36)))</s:f>
        <s:v>-7.112920325749975</s:v>
      </s:c>
      <s:c r="F8" s="32">
        <s:f>IF(F35&lt;F36,MIN(F36-F35,'Transaction Assumptions'!$C$12-F7),-MIN(F7,MAX(0,F35-F36)))</s:f>
        <s:v>-3.9985946742500413</s:v>
      </s:c>
      <s:c r="G8" s="32">
        <s:f>IF(G35&lt;G36,MIN(G36-G35,'Transaction Assumptions'!$C$12-G7),-MIN(G7,MAX(0,G35-G36)))</s:f>
        <s:v>-0.0</s:v>
      </s:c>
      <s:c r="H8" s="32">
        <s:f>IF(H35&lt;H36,MIN(H36-H35,'Transaction Assumptions'!$C$12-H7),-MIN(H7,MAX(0,H35-H36)))</s:f>
        <s:v>-0.0</s:v>
      </s:c>
    </s:row>
    <s:row r="9">
      <s:c r="A9" s="8" t="inlineStr">
        <s:is>
          <s:t>Ending balance</s:t>
        </s:is>
      </s:c>
      <s:c r="C9" s="32">
        <s:f>C7</s:f>
        <s:v>0.0</s:v>
      </s:c>
      <s:c r="D9" s="29">
        <s:f>MAX(0,D7+D8)</s:f>
        <s:v>11.111515000000017</s:v>
      </s:c>
      <s:c r="E9" s="29">
        <s:f>MAX(0,E7+E8)</s:f>
        <s:v>3.9985946742500413</s:v>
      </s:c>
      <s:c r="F9" s="29">
        <s:f>MAX(0,F7+F8)</s:f>
        <s:v>0.0</s:v>
      </s:c>
      <s:c r="G9" s="29">
        <s:f>MAX(0,G7+G8)</s:f>
        <s:v>0.0</s:v>
      </s:c>
      <s:c r="H9" s="29">
        <s:f>MAX(0,H7+H8)</s:f>
        <s:v>0.0</s:v>
      </s:c>
    </s:row>
    <s:row r="10">
      <s:c r="A10" s="7" t="inlineStr">
        <s:is>
          <s:t>Interest expense</s:t>
        </s:is>
      </s:c>
      <s:c r="C10" s="36" t="inlineStr">
        <s:is>
          <s:t>n/a</s:t>
        </s:is>
      </s:c>
      <s:c r="D10" s="18">
        <s:f>-D7*'Transaction Assumptions'!$C$20</s:f>
        <s:v>-0.0</s:v>
      </s:c>
      <s:c r="E10" s="18">
        <s:f>-E7*'Transaction Assumptions'!$C$20</s:f>
        <s:v>-0.7500272625000012</s:v>
      </s:c>
      <s:c r="F10" s="18">
        <s:f>-F7*'Transaction Assumptions'!$C$20</s:f>
        <s:v>-0.2699051405118778</s:v>
      </s:c>
      <s:c r="G10" s="18">
        <s:f>-G7*'Transaction Assumptions'!$C$20</s:f>
        <s:v>-0.0</s:v>
      </s:c>
      <s:c r="H10" s="18">
        <s:f>-H7*'Transaction Assumptions'!$C$20</s:f>
        <s:v>-0.0</s:v>
      </s:c>
    </s:row>
    <s:row r="12">
      <s:c r="A12" s="12" t="inlineStr">
        <s:is>
          <s:t>TERM LOAN A</s:t>
        </s:is>
      </s:c>
      <s:c r="B12" s="12" t="n"/>
      <s:c r="C12" s="12" t="n"/>
      <s:c r="D12" s="12" t="n"/>
      <s:c r="E12" s="12" t="n"/>
      <s:c r="F12" s="12" t="n"/>
      <s:c r="G12" s="12" t="n"/>
    </s:row>
    <s:row r="13">
      <s:c r="A13" s="7" t="inlineStr">
        <s:is>
          <s:t>Beginning balance</s:t>
        </s:is>
      </s:c>
      <s:c r="C13" s="18">
        <s:f>'Sources &amp; Uses'!B11</s:f>
        <s:v>224.3</s:v>
      </s:c>
      <s:c r="D13" s="32">
        <s:f>C16</s:f>
        <s:v>224.3</s:v>
      </s:c>
      <s:c r="E13" s="32">
        <s:f>D16</s:f>
        <s:v>213.085</s:v>
      </s:c>
      <s:c r="F13" s="32">
        <s:f>E16</s:f>
        <s:v>201.87</s:v>
      </s:c>
      <s:c r="G13" s="32">
        <s:f>F16</s:f>
        <s:v>190.655</s:v>
      </s:c>
      <s:c r="H13" s="32">
        <s:f>G16</s:f>
        <s:v>179.44</s:v>
      </s:c>
    </s:row>
    <s:row r="14">
      <s:c r="A14" s="7" t="inlineStr">
        <s:is>
          <s:t>Mandatory amortization</s:t>
        </s:is>
      </s:c>
      <s:c r="C14" s="36" t="inlineStr">
        <s:is>
          <s:t>n/a</s:t>
        </s:is>
      </s:c>
      <s:c r="D14" s="18">
        <s:f>-MIN(D13,'Sources &amp; Uses'!$B$11*'Transaction Assumptions'!$C$21)</s:f>
        <s:v>-11.215000000000002</s:v>
      </s:c>
      <s:c r="E14" s="18">
        <s:f>-MIN(E13,'Sources &amp; Uses'!$B$11*'Transaction Assumptions'!$C$21)</s:f>
        <s:v>-11.215000000000002</s:v>
      </s:c>
      <s:c r="F14" s="18">
        <s:f>-MIN(F13,'Sources &amp; Uses'!$B$11*'Transaction Assumptions'!$C$21)</s:f>
        <s:v>-11.215000000000002</s:v>
      </s:c>
      <s:c r="G14" s="18">
        <s:f>-MIN(G13,'Sources &amp; Uses'!$B$11*'Transaction Assumptions'!$C$21)</s:f>
        <s:v>-11.215000000000002</s:v>
      </s:c>
      <s:c r="H14" s="18">
        <s:f>-MIN(H13,'Sources &amp; Uses'!$B$11*'Transaction Assumptions'!$C$21)</s:f>
        <s:v>-11.215000000000002</s:v>
      </s:c>
    </s:row>
    <s:row r="15">
      <s:c r="A15" s="7" t="inlineStr">
        <s:is>
          <s:t>Cash sweep (post-TLB paydown)</s:t>
        </s:is>
      </s:c>
      <s:c r="C15" s="36" t="inlineStr">
        <s:is>
          <s:t>n/a</s:t>
        </s:is>
      </s:c>
      <s:c r="D15" s="32">
        <s:f>-MIN(MAX(D13+D14,0),MAX(D37-(-D22),0))</s:f>
        <s:v>-0.0</s:v>
      </s:c>
      <s:c r="E15" s="32">
        <s:f>-MIN(MAX(E13+E14,0),MAX(E37-(-E22),0))</s:f>
        <s:v>-0.0</s:v>
      </s:c>
      <s:c r="F15" s="32">
        <s:f>-MIN(MAX(F13+F14,0),MAX(F37-(-F22),0))</s:f>
        <s:v>-0.0</s:v>
      </s:c>
      <s:c r="G15" s="32">
        <s:f>-MIN(MAX(G13+G14,0),MAX(G37-(-G22),0))</s:f>
        <s:v>-0.0</s:v>
      </s:c>
      <s:c r="H15" s="32">
        <s:f>-MIN(MAX(H13+H14,0),MAX(H37-(-H22),0))</s:f>
        <s:v>-0.0</s:v>
      </s:c>
    </s:row>
    <s:row r="16">
      <s:c r="A16" s="8" t="inlineStr">
        <s:is>
          <s:t>Ending balance</s:t>
        </s:is>
      </s:c>
      <s:c r="C16" s="32">
        <s:f>C13</s:f>
        <s:v>224.3</s:v>
      </s:c>
      <s:c r="D16" s="29">
        <s:f>MAX(0,D13+D14+D15)</s:f>
        <s:v>213.085</s:v>
      </s:c>
      <s:c r="E16" s="29">
        <s:f>MAX(0,E13+E14+E15)</s:f>
        <s:v>201.87</s:v>
      </s:c>
      <s:c r="F16" s="29">
        <s:f>MAX(0,F13+F14+F15)</s:f>
        <s:v>190.655</s:v>
      </s:c>
      <s:c r="G16" s="29">
        <s:f>MAX(0,G13+G14+G15)</s:f>
        <s:v>179.44</s:v>
      </s:c>
      <s:c r="H16" s="29">
        <s:f>MAX(0,H13+H14+H15)</s:f>
        <s:v>168.225</s:v>
      </s:c>
    </s:row>
    <s:row r="17">
      <s:c r="A17" s="7" t="inlineStr">
        <s:is>
          <s:t>Interest expense</s:t>
        </s:is>
      </s:c>
      <s:c r="C17" s="36" t="inlineStr">
        <s:is>
          <s:t>n/a</s:t>
        </s:is>
      </s:c>
      <s:c r="D17" s="18">
        <s:f>-D13*'Transaction Assumptions'!$C$17</s:f>
        <s:v>-15.701000000000002</s:v>
      </s:c>
      <s:c r="E17" s="18">
        <s:f>-E13*'Transaction Assumptions'!$C$17</s:f>
        <s:v>-14.915950000000002</s:v>
      </s:c>
      <s:c r="F17" s="18">
        <s:f>-F13*'Transaction Assumptions'!$C$17</s:f>
        <s:v>-14.130900000000002</s:v>
      </s:c>
      <s:c r="G17" s="18">
        <s:f>-G13*'Transaction Assumptions'!$C$17</s:f>
        <s:v>-13.345850000000002</s:v>
      </s:c>
      <s:c r="H17" s="18">
        <s:f>-H13*'Transaction Assumptions'!$C$17</s:f>
        <s:v>-12.5608</s:v>
      </s:c>
    </s:row>
    <s:row r="19">
      <s:c r="A19" s="12" t="inlineStr">
        <s:is>
          <s:t>TERM LOAN B</s:t>
        </s:is>
      </s:c>
      <s:c r="B19" s="12" t="n"/>
      <s:c r="C19" s="12" t="n"/>
      <s:c r="D19" s="12" t="n"/>
      <s:c r="E19" s="12" t="n"/>
      <s:c r="F19" s="12" t="n"/>
      <s:c r="G19" s="12" t="n"/>
    </s:row>
    <s:row r="20">
      <s:c r="A20" s="7" t="inlineStr">
        <s:is>
          <s:t>Beginning balance</s:t>
        </s:is>
      </s:c>
      <s:c r="C20" s="18">
        <s:f>'Sources &amp; Uses'!B12</s:f>
        <s:v>448.6</s:v>
      </s:c>
      <s:c r="D20" s="32">
        <s:f>C23</s:f>
        <s:v>448.6</s:v>
      </s:c>
      <s:c r="E20" s="32">
        <s:f>D23</s:f>
        <s:v>444.11400000000003</s:v>
      </s:c>
      <s:c r="F20" s="32">
        <s:f>E23</s:f>
        <s:v>433.2263717068251</s:v>
      </s:c>
      <s:c r="G20" s="32">
        <s:f>F23</s:f>
        <s:v>416.9466837377113</s:v>
      </s:c>
      <s:c r="H20" s="32">
        <s:f>G23</s:f>
        <s:v>385.3932039156409</s:v>
      </s:c>
    </s:row>
    <s:row r="21">
      <s:c r="A21" s="7" t="inlineStr">
        <s:is>
          <s:t>Mandatory amortization</s:t>
        </s:is>
      </s:c>
      <s:c r="C21" s="36" t="inlineStr">
        <s:is>
          <s:t>n/a</s:t>
        </s:is>
      </s:c>
      <s:c r="D21" s="18">
        <s:f>-MIN(D20,'Sources &amp; Uses'!$B$12*'Transaction Assumptions'!$C$22)</s:f>
        <s:v>-4.486000000000001</s:v>
      </s:c>
      <s:c r="E21" s="18">
        <s:f>-MIN(E20,'Sources &amp; Uses'!$B$12*'Transaction Assumptions'!$C$22)</s:f>
        <s:v>-4.486000000000001</s:v>
      </s:c>
      <s:c r="F21" s="18">
        <s:f>-MIN(F20,'Sources &amp; Uses'!$B$12*'Transaction Assumptions'!$C$22)</s:f>
        <s:v>-4.486000000000001</s:v>
      </s:c>
      <s:c r="G21" s="18">
        <s:f>-MIN(G20,'Sources &amp; Uses'!$B$12*'Transaction Assumptions'!$C$22)</s:f>
        <s:v>-4.486000000000001</s:v>
      </s:c>
      <s:c r="H21" s="18">
        <s:f>-MIN(H20,'Sources &amp; Uses'!$B$12*'Transaction Assumptions'!$C$22)</s:f>
        <s:v>-4.486000000000001</s:v>
      </s:c>
    </s:row>
    <s:row r="22">
      <s:c r="A22" s="7" t="inlineStr">
        <s:is>
          <s:t>Cash sweep</s:t>
        </s:is>
      </s:c>
      <s:c r="C22" s="36" t="inlineStr">
        <s:is>
          <s:t>n/a</s:t>
        </s:is>
      </s:c>
      <s:c r="D22" s="32">
        <s:f>-MIN(MAX(D20+D21,0),D37)</s:f>
        <s:v>-0.0</s:v>
      </s:c>
      <s:c r="E22" s="32">
        <s:f>-MIN(MAX(E20+E21,0),E37)</s:f>
        <s:v>-6.401628293174978</s:v>
      </s:c>
      <s:c r="F22" s="32">
        <s:f>-MIN(MAX(F20+F21,0),F37)</s:f>
        <s:v>-11.793687969113837</s:v>
      </s:c>
      <s:c r="G22" s="32">
        <s:f>-MIN(MAX(G20+G21,0),G37)</s:f>
        <s:v>-27.06747982207037</s:v>
      </s:c>
      <s:c r="H22" s="32">
        <s:f>-MIN(MAX(H20+H21,0),H37)</s:f>
        <s:v>-45.7020497541947</s:v>
      </s:c>
    </s:row>
    <s:row r="23">
      <s:c r="A23" s="8" t="inlineStr">
        <s:is>
          <s:t>Ending balance</s:t>
        </s:is>
      </s:c>
      <s:c r="C23" s="32">
        <s:f>C20</s:f>
        <s:v>448.6</s:v>
      </s:c>
      <s:c r="D23" s="29">
        <s:f>MAX(0,D20+D21+D22)</s:f>
        <s:v>444.11400000000003</s:v>
      </s:c>
      <s:c r="E23" s="29">
        <s:f>MAX(0,E20+E21+E22)</s:f>
        <s:v>433.2263717068251</s:v>
      </s:c>
      <s:c r="F23" s="29">
        <s:f>MAX(0,F20+F21+F22)</s:f>
        <s:v>416.9466837377113</s:v>
      </s:c>
      <s:c r="G23" s="29">
        <s:f>MAX(0,G20+G21+G22)</s:f>
        <s:v>385.3932039156409</s:v>
      </s:c>
      <s:c r="H23" s="29">
        <s:f>MAX(0,H20+H21+H22)</s:f>
        <s:v>335.2051541614462</s:v>
      </s:c>
    </s:row>
    <s:row r="24">
      <s:c r="A24" s="7" t="inlineStr">
        <s:is>
          <s:t>Interest expense</s:t>
        </s:is>
      </s:c>
      <s:c r="C24" s="36" t="inlineStr">
        <s:is>
          <s:t>n/a</s:t>
        </s:is>
      </s:c>
      <s:c r="D24" s="18">
        <s:f>-D20*'Transaction Assumptions'!$C$18</s:f>
        <s:v>-34.7665</s:v>
      </s:c>
      <s:c r="E24" s="18">
        <s:f>-E20*'Transaction Assumptions'!$C$18</s:f>
        <s:v>-34.418835</s:v>
      </s:c>
      <s:c r="F24" s="18">
        <s:f>-F20*'Transaction Assumptions'!$C$18</s:f>
        <s:v>-33.575043807278945</s:v>
      </s:c>
      <s:c r="G24" s="18">
        <s:f>-G20*'Transaction Assumptions'!$C$18</s:f>
        <s:v>-32.31336798967262</s:v>
      </s:c>
      <s:c r="H24" s="18">
        <s:f>-H20*'Transaction Assumptions'!$C$18</s:f>
        <s:v>-29.867973303462172</s:v>
      </s:c>
    </s:row>
    <s:row r="26">
      <s:c r="A26" s="12" t="inlineStr">
        <s:is>
          <s:t>SENIOR NOTES (bullet, no amortization within hold period)</s:t>
        </s:is>
      </s:c>
      <s:c r="B26" s="12" t="n"/>
      <s:c r="C26" s="12" t="n"/>
      <s:c r="D26" s="12" t="n"/>
      <s:c r="E26" s="12" t="n"/>
      <s:c r="F26" s="12" t="n"/>
      <s:c r="G26" s="12" t="n"/>
    </s:row>
    <s:row r="27">
      <s:c r="A27" s="7" t="inlineStr">
        <s:is>
          <s:t>Beginning balance</s:t>
        </s:is>
      </s:c>
      <s:c r="C27" s="18">
        <s:f>'Sources &amp; Uses'!B13</s:f>
        <s:v>336.45000000000005</s:v>
      </s:c>
      <s:c r="D27" s="32">
        <s:f>C28</s:f>
        <s:v>336.45000000000005</s:v>
      </s:c>
      <s:c r="E27" s="32">
        <s:f>D28</s:f>
        <s:v>336.45000000000005</s:v>
      </s:c>
      <s:c r="F27" s="32">
        <s:f>E28</s:f>
        <s:v>336.45000000000005</s:v>
      </s:c>
      <s:c r="G27" s="32">
        <s:f>F28</s:f>
        <s:v>336.45000000000005</s:v>
      </s:c>
      <s:c r="H27" s="32">
        <s:f>G28</s:f>
        <s:v>336.45000000000005</s:v>
      </s:c>
    </s:row>
    <s:row r="28">
      <s:c r="A28" s="8" t="inlineStr">
        <s:is>
          <s:t>Ending balance</s:t>
        </s:is>
      </s:c>
      <s:c r="C28" s="32">
        <s:f>C27</s:f>
        <s:v>336.45000000000005</s:v>
      </s:c>
      <s:c r="D28" s="29">
        <s:f>D27</s:f>
        <s:v>336.45000000000005</s:v>
      </s:c>
      <s:c r="E28" s="29">
        <s:f>E27</s:f>
        <s:v>336.45000000000005</s:v>
      </s:c>
      <s:c r="F28" s="29">
        <s:f>F27</s:f>
        <s:v>336.45000000000005</s:v>
      </s:c>
      <s:c r="G28" s="29">
        <s:f>G27</s:f>
        <s:v>336.45000000000005</s:v>
      </s:c>
      <s:c r="H28" s="29">
        <s:f>H27</s:f>
        <s:v>336.45000000000005</s:v>
      </s:c>
    </s:row>
    <s:row r="29">
      <s:c r="A29" s="7" t="inlineStr">
        <s:is>
          <s:t>Interest expense</s:t>
        </s:is>
      </s:c>
      <s:c r="C29" s="36" t="inlineStr">
        <s:is>
          <s:t>n/a</s:t>
        </s:is>
      </s:c>
      <s:c r="D29" s="18">
        <s:f>-D28*'Transaction Assumptions'!$C$19</s:f>
        <s:v>-28.598250000000007</s:v>
      </s:c>
      <s:c r="E29" s="18">
        <s:f>-E28*'Transaction Assumptions'!$C$19</s:f>
        <s:v>-28.598250000000007</s:v>
      </s:c>
      <s:c r="F29" s="18">
        <s:f>-F28*'Transaction Assumptions'!$C$19</s:f>
        <s:v>-28.598250000000007</s:v>
      </s:c>
      <s:c r="G29" s="18">
        <s:f>-G28*'Transaction Assumptions'!$C$19</s:f>
        <s:v>-28.598250000000007</s:v>
      </s:c>
      <s:c r="H29" s="18">
        <s:f>-H28*'Transaction Assumptions'!$C$19</s:f>
        <s:v>-28.598250000000007</s:v>
      </s:c>
    </s:row>
    <s:row r="31">
      <s:c r="A31" s="12" t="inlineStr">
        <s:is>
          <s:t>CASH &amp; SWEEP LOGIC</s:t>
        </s:is>
      </s:c>
      <s:c r="B31" s="12" t="n"/>
      <s:c r="C31" s="12" t="n"/>
      <s:c r="D31" s="12" t="n"/>
      <s:c r="E31" s="12" t="n"/>
      <s:c r="F31" s="12" t="n"/>
      <s:c r="G31" s="12" t="n"/>
    </s:row>
    <s:row r="32">
      <s:c r="A32" s="7" t="inlineStr">
        <s:is>
          <s:t>Beginning cash balance</s:t>
        </s:is>
      </s:c>
      <s:c r="C32" s="36" t="inlineStr">
        <s:is>
          <s:t>n/a</s:t>
        </s:is>
      </s:c>
      <s:c r="D32" s="32">
        <s:f>C38</s:f>
        <s:v>12.0</s:v>
      </s:c>
      <s:c r="E32" s="32">
        <s:f>D38</s:f>
        <s:v>20.0</s:v>
      </s:c>
      <s:c r="F32" s="32">
        <s:f>E38</s:f>
        <s:v>13.598371706825022</s:v>
      </s:c>
      <s:c r="G32" s="32">
        <s:f>F38</s:f>
        <s:v>17.311815100095938</s:v>
      </s:c>
      <s:c r="H32" s="32">
        <s:f>G38</s:f>
        <s:v>23.00749775800782</s:v>
      </s:c>
    </s:row>
    <s:row r="33">
      <s:c r="A33" s="7" t="inlineStr">
        <s:is>
          <s:t>Free cash flow before mandatory amortization &amp; sweep</s:t>
        </s:is>
      </s:c>
      <s:c r="C33" s="36" t="inlineStr">
        <s:is>
          <s:t>n/a</s:t>
        </s:is>
      </s:c>
      <s:c r="D33" s="18">
        <s:f>'Operating Model'!D22</s:f>
        <s:v>12.589484999999986</s:v>
      </s:c>
      <s:c r="E33" s="18">
        <s:f>'Operating Model'!E22</s:f>
        <s:v>22.81392032574998</s:v>
      </s:c>
      <s:c r="F33" s="18">
        <s:f>'Operating Model'!F22</s:f>
        <s:v>35.2067260366348</s:v>
      </s:c>
      <s:c r="G33" s="18">
        <s:f>'Operating Model'!G22</s:f>
        <s:v>48.46416247998225</s:v>
      </s:c>
      <s:c r="H33" s="18">
        <s:f>'Operating Model'!H22</s:f>
        <s:v>63.47355752443074</s:v>
      </s:c>
    </s:row>
    <s:row r="34">
      <s:c r="A34" s="7" t="inlineStr">
        <s:is>
          <s:t>Less: mandatory amortization (TLA + TLB)</s:t>
        </s:is>
      </s:c>
      <s:c r="C34" s="36" t="inlineStr">
        <s:is>
          <s:t>n/a</s:t>
        </s:is>
      </s:c>
      <s:c r="D34" s="32">
        <s:f>D14+D21</s:f>
        <s:v>-15.701000000000002</s:v>
      </s:c>
      <s:c r="E34" s="32">
        <s:f>E14+E21</s:f>
        <s:v>-15.701000000000002</s:v>
      </s:c>
      <s:c r="F34" s="32">
        <s:f>F14+F21</s:f>
        <s:v>-15.701000000000002</s:v>
      </s:c>
      <s:c r="G34" s="32">
        <s:f>G14+G21</s:f>
        <s:v>-15.701000000000002</s:v>
      </s:c>
      <s:c r="H34" s="32">
        <s:f>H14+H21</s:f>
        <s:v>-15.701000000000002</s:v>
      </s:c>
    </s:row>
    <s:row r="35">
      <s:c r="A35" s="7" t="inlineStr">
        <s:is>
          <s:t>Cash available for discretionary sweep / revolver</s:t>
        </s:is>
      </s:c>
      <s:c r="C35" s="36" t="inlineStr">
        <s:is>
          <s:t>n/a</s:t>
        </s:is>
      </s:c>
      <s:c r="D35" s="32">
        <s:f>D32+D33+D34</s:f>
        <s:v>8.888484999999983</s:v>
      </s:c>
      <s:c r="E35" s="32">
        <s:f>E32+E33+E34</s:f>
        <s:v>27.112920325749975</s:v>
      </s:c>
      <s:c r="F35" s="32">
        <s:f>F32+F33+F34</s:f>
        <s:v>33.10409774345982</s:v>
      </s:c>
      <s:c r="G35" s="32">
        <s:f>G32+G33+G34</s:f>
        <s:v>50.07497758007819</s:v>
      </s:c>
      <s:c r="H35" s="32">
        <s:f>H32+H33+H34</s:f>
        <s:v>70.78005528243855</s:v>
      </s:c>
    </s:row>
    <s:row r="36">
      <s:c r="A36" s="7" t="inlineStr">
        <s:is>
          <s:t>Minimum cash required</s:t>
        </s:is>
      </s:c>
      <s:c r="C36" s="10">
        <s:f>'Transaction Assumptions'!C24</s:f>
        <s:v>20.0</s:v>
      </s:c>
      <s:c r="D36" s="18">
        <s:f>'Transaction Assumptions'!$C$24</s:f>
        <s:v>20.0</s:v>
      </s:c>
      <s:c r="E36" s="18">
        <s:f>'Transaction Assumptions'!$C$24</s:f>
        <s:v>20.0</s:v>
      </s:c>
      <s:c r="F36" s="18">
        <s:f>'Transaction Assumptions'!$C$24</s:f>
        <s:v>20.0</s:v>
      </s:c>
      <s:c r="G36" s="18">
        <s:f>'Transaction Assumptions'!$C$24</s:f>
        <s:v>20.0</s:v>
      </s:c>
      <s:c r="H36" s="18">
        <s:f>'Transaction Assumptions'!$C$24</s:f>
        <s:v>20.0</s:v>
      </s:c>
    </s:row>
    <s:row r="37">
      <s:c r="A37" s="7" t="inlineStr">
        <s:is>
          <s:t>Cash flow swept to debt (TLB first, then TLA)</s:t>
        </s:is>
      </s:c>
      <s:c r="C37" s="36" t="inlineStr">
        <s:is>
          <s:t>n/a</s:t>
        </s:is>
      </s:c>
      <s:c r="D37" s="32">
        <s:f>MIN(MAX(0,D35-D36),(D20+D21+D13+D14))*'Transaction Assumptions'!$C$23</s:f>
        <s:v>0.0</s:v>
      </s:c>
      <s:c r="E37" s="32">
        <s:f>MIN(MAX(0,E35-E36),(E20+E21+E13+E14))*'Transaction Assumptions'!$C$23</s:f>
        <s:v>6.401628293174978</s:v>
      </s:c>
      <s:c r="F37" s="32">
        <s:f>MIN(MAX(0,F35-F36),(F20+F21+F13+F14))*'Transaction Assumptions'!$C$23</s:f>
        <s:v>11.793687969113837</s:v>
      </s:c>
      <s:c r="G37" s="32">
        <s:f>MIN(MAX(0,G35-G36),(G20+G21+G13+G14))*'Transaction Assumptions'!$C$23</s:f>
        <s:v>27.06747982207037</s:v>
      </s:c>
      <s:c r="H37" s="32">
        <s:f>MIN(MAX(0,H35-H36),(H20+H21+H13+H14))*'Transaction Assumptions'!$C$23</s:f>
        <s:v>45.7020497541947</s:v>
      </s:c>
    </s:row>
    <s:row r="38">
      <s:c r="A38" s="8" t="inlineStr">
        <s:is>
          <s:t>Ending cash balance</s:t>
        </s:is>
      </s:c>
      <s:c r="C38" s="18">
        <s:f>'Sources &amp; Uses'!B15</s:f>
        <s:v>12.0</s:v>
      </s:c>
      <s:c r="D38" s="29">
        <s:f>D35+D8-D37</s:f>
        <s:v>20.0</s:v>
      </s:c>
      <s:c r="E38" s="29">
        <s:f>E35+E8-E37</s:f>
        <s:v>13.598371706825022</s:v>
      </s:c>
      <s:c r="F38" s="29">
        <s:f>F35+F8-F37</s:f>
        <s:v>17.311815100095938</s:v>
      </s:c>
      <s:c r="G38" s="29">
        <s:f>G35+G8-G37</s:f>
        <s:v>23.00749775800782</s:v>
      </s:c>
      <s:c r="H38" s="29">
        <s:f>H35+H8-H37</s:f>
        <s:v>25.078005528243857</s:v>
      </s:c>
    </s:row>
    <s:row r="40">
      <s:c r="A40" s="8" t="inlineStr">
        <s:is>
          <s:t>Total debt (Revolver+TLA+TLB+Notes)</s:t>
        </s:is>
      </s:c>
      <s:c r="C40" s="29">
        <s:f>C9+C16+C23+C28</s:f>
        <s:v>1009.3500000000001</s:v>
      </s:c>
      <s:c r="D40" s="29">
        <s:f>D9+D16+D23+D28</s:f>
        <s:v>1004.7605150000002</s:v>
      </s:c>
      <s:c r="E40" s="29">
        <s:f>E9+E16+E23+E28</s:f>
        <s:v>975.5449663810751</s:v>
      </s:c>
      <s:c r="F40" s="29">
        <s:f>F9+F16+F23+F28</s:f>
        <s:v>944.0516837377113</s:v>
      </s:c>
      <s:c r="G40" s="29">
        <s:f>G9+G16+G23+G28</s:f>
        <s:v>901.283203915641</s:v>
      </s:c>
      <s:c r="H40" s="29">
        <s:f>H9+H16+H23+H28</s:f>
        <s:v>839.8801541614463</s:v>
      </s:c>
    </s:row>
    <s:row r="41">
      <s:c r="A41" s="8" t="inlineStr">
        <s:is>
          <s:t>Total interest expense</s:t>
        </s:is>
      </s:c>
      <s:c r="C41" s="36" t="inlineStr">
        <s:is>
          <s:t>n/a</s:t>
        </s:is>
      </s:c>
      <s:c r="D41" s="29">
        <s:f>D10+D17+D24+D29</s:f>
        <s:v>-79.06575000000001</s:v>
      </s:c>
      <s:c r="E41" s="29">
        <s:f>E10+E17+E24+E29</s:f>
        <s:v>-78.68306226250002</s:v>
      </s:c>
      <s:c r="F41" s="29">
        <s:f>F10+F17+F24+F29</s:f>
        <s:v>-76.57409894779083</s:v>
      </s:c>
      <s:c r="G41" s="29">
        <s:f>G10+G17+G24+G29</s:f>
        <s:v>-74.25746798967263</s:v>
      </s:c>
      <s:c r="H41" s="29">
        <s:f>H10+H17+H24+H29</s:f>
        <s:v>-71.02702330346219</s:v>
      </s:c>
    </s:row>
    <s:row r="42">
      <s:c r="A42" s="8" t="inlineStr">
        <s:is>
          <s:t>Net debt (total debt − cash)</s:t>
        </s:is>
      </s:c>
      <s:c r="C42" s="29">
        <s:f>C40-C38</s:f>
        <s:v>997.3500000000001</s:v>
      </s:c>
      <s:c r="D42" s="29">
        <s:f>D40-D38</s:f>
        <s:v>984.7605150000002</s:v>
      </s:c>
      <s:c r="E42" s="29">
        <s:f>E40-E38</s:f>
        <s:v>961.9465946742502</s:v>
      </s:c>
      <s:c r="F42" s="29">
        <s:f>F40-F38</s:f>
        <s:v>926.7398686376154</s:v>
      </s:c>
      <s:c r="G42" s="29">
        <s:f>G40-G38</s:f>
        <s:v>878.2757061576332</s:v>
      </s:c>
      <s:c r="H42" s="29">
        <s:f>H40-H38</s:f>
        <s:v>814.8021486332025</s:v>
      </s:c>
    </s:row>
    <s:row r="43">
      <s:c r="A43" s="7" t="inlineStr">
        <s:is>
          <s:t>Net leverage (x LTM EBITDA)</s:t>
        </s:is>
      </s:c>
      <s:c r="C43" s="33">
        <s:f>C42/'Transaction Assumptions'!C8</s:f>
        <s:v>4.446500222915739</s:v>
      </s:c>
      <s:c r="D43" s="33">
        <s:f>D42/'Operating Model'!D9</s:f>
        <s:v>4.1829587506690125</s:v>
      </s:c>
      <s:c r="E43" s="33">
        <s:f>E42/'Operating Model'!E9</s:f>
        <s:v>3.7945609824902458</s:v>
      </s:c>
      <s:c r="F43" s="33">
        <s:f>F42/'Operating Model'!F9</s:f>
        <s:v>3.401322341404889</s:v>
      </s:c>
      <s:c r="G43" s="33">
        <s:f>G42/'Operating Model'!G9</s:f>
        <s:v>2.9898658176449064</s:v>
      </s:c>
      <s:c r="H43" s="33">
        <s:f>H42/'Operating Model'!H9</s:f>
        <s:v>2.576910318614861</s:v>
      </s:c>
    </s:row>
  </s:sheetData>
  <s:pageMargins left="0.75" right="0.75" top="1" bottom="1" header="0.5" footer="0.5"/>
</s:worksheet>
</file>

<file path=xl/worksheets/sheet5.xml><?xml version="1.0" encoding="utf-8"?>
<s:worksheet xmlns:r="http://schemas.openxmlformats.org/officeDocument/2006/relationships" xmlns:s="http://schemas.openxmlformats.org/spreadsheetml/2006/main">
  <s:sheetPr>
    <s:outlinePr summaryBelow="1" summaryRight="1"/>
    <s:pageSetUpPr/>
  </s:sheetPr>
  <s:dimension ref="A1:H22"/>
  <s:sheetViews>
    <s:sheetView workbookViewId="0">
      <s:pane xSplit="2" ySplit="3" topLeftCell="C4" activePane="bottomRight" state="frozen"/>
      <s:selection pane="topRight"/>
      <s:selection pane="bottomLeft"/>
      <s:selection pane="bottomRight" activeCell="A1" sqref="A1"/>
    </s:sheetView>
  </s:sheetViews>
  <s:sheetFormatPr baseColWidth="8" defaultRowHeight="15"/>
  <s:cols>
    <s:col width="44" customWidth="1" min="1" max="1"/>
    <s:col width="15" customWidth="1" min="2" max="2"/>
    <s:col width="15" customWidth="1" min="3" max="3"/>
    <s:col width="15" customWidth="1" min="4" max="4"/>
    <s:col width="15" customWidth="1" min="5" max="5"/>
    <s:col width="15" customWidth="1" min="6" max="6"/>
    <s:col width="15" customWidth="1" min="7" max="7"/>
  </s:cols>
  <s:sheetData>
    <s:row r="1">
      <s:c r="A1" s="1" t="inlineStr">
        <s:is>
          <s:t>Post-LBO Operating Model &amp; Free Cash Flow Build</s:t>
        </s:is>
      </s:c>
    </s:row>
    <s:row r="3">
      <s:c r="C3" s="35" t="inlineStr">
        <s:is>
          <s:t>Entry
(FY2026E)</s:t>
        </s:is>
      </s:c>
      <s:c r="D3" s="35" t="inlineStr">
        <s:is>
          <s:t>Year 1
(FY2027E)</s:t>
        </s:is>
      </s:c>
      <s:c r="E3" s="35" t="inlineStr">
        <s:is>
          <s:t>Year 2
(FY2028E)</s:t>
        </s:is>
      </s:c>
      <s:c r="F3" s="35" t="inlineStr">
        <s:is>
          <s:t>Year 3
(FY2029E)</s:t>
        </s:is>
      </s:c>
      <s:c r="G3" s="35" t="inlineStr">
        <s:is>
          <s:t>Year 4
(FY2030E)</s:t>
        </s:is>
      </s:c>
      <s:c r="H3" s="35" t="inlineStr">
        <s:is>
          <s:t>Year 5 / Exit
(FY2031E)</s:t>
        </s:is>
      </s:c>
    </s:row>
    <s:row r="5">
      <s:c r="A5" s="7" t="inlineStr">
        <s:is>
          <s:t>Revenue</s:t>
        </s:is>
      </s:c>
      <s:c r="C5" s="26" t="n">
        <s:v>3480</s:v>
      </s:c>
      <s:c r="D5" s="18">
        <s:f>C5*(1+'Transaction Assumptions'!D28)</s:f>
        <s:v>3566.9999999999995</s:v>
      </s:c>
      <s:c r="E5" s="18">
        <s:f>D5*(1+'Transaction Assumptions'!E28)</s:f>
        <s:v>3674.0099999999998</s:v>
      </s:c>
      <s:c r="F5" s="18">
        <s:f>E5*(1+'Transaction Assumptions'!F28)</s:f>
        <s:v>3784.2302999999997</s:v>
      </s:c>
      <s:c r="G5" s="18">
        <s:f>F5*(1+'Transaction Assumptions'!G28)</s:f>
        <s:v>3916.6783604999996</s:v>
      </s:c>
      <s:c r="H5" s="18">
        <s:f>G5*(1+'Transaction Assumptions'!H28)</s:f>
        <s:v>4053.7621031174995</s:v>
      </s:c>
    </s:row>
    <s:row r="6">
      <s:c r="A6" s="7" t="inlineStr">
        <s:is>
          <s:t xml:space="preserve">  % growth YoY</s:t>
        </s:is>
      </s:c>
      <s:c r="C6" s="37" t="n"/>
      <s:c r="D6" s="38">
        <s:f>'Transaction Assumptions'!D28</s:f>
        <s:v>0.025</s:v>
      </s:c>
      <s:c r="E6" s="38">
        <s:f>'Transaction Assumptions'!E28</s:f>
        <s:v>0.03</s:v>
      </s:c>
      <s:c r="F6" s="38">
        <s:f>'Transaction Assumptions'!F28</s:f>
        <s:v>0.03</s:v>
      </s:c>
      <s:c r="G6" s="38">
        <s:f>'Transaction Assumptions'!G28</s:f>
        <s:v>0.035</s:v>
      </s:c>
      <s:c r="H6" s="38">
        <s:f>'Transaction Assumptions'!H28</s:f>
        <s:v>0.035</s:v>
      </s:c>
    </s:row>
    <s:row r="8">
      <s:c r="A8" s="7" t="inlineStr">
        <s:is>
          <s:t>EBITDA margin %</s:t>
        </s:is>
      </s:c>
      <s:c r="C8" s="39">
        <s:f>'Transaction Assumptions'!C8/C5</s:f>
        <s:v>0.06445402298850575</s:v>
      </s:c>
      <s:c r="D8" s="39">
        <s:f>'Transaction Assumptions'!D29</s:f>
        <s:v>0.066</s:v>
      </s:c>
      <s:c r="E8" s="39">
        <s:f>'Transaction Assumptions'!E29</s:f>
        <s:v>0.069</s:v>
      </s:c>
      <s:c r="F8" s="39">
        <s:f>'Transaction Assumptions'!F29</s:f>
        <s:v>0.072</s:v>
      </s:c>
      <s:c r="G8" s="39">
        <s:f>'Transaction Assumptions'!G29</s:f>
        <s:v>0.075</s:v>
      </s:c>
      <s:c r="H8" s="39">
        <s:f>'Transaction Assumptions'!H29</s:f>
        <s:v>0.078</s:v>
      </s:c>
    </s:row>
    <s:row r="9">
      <s:c r="A9" s="8" t="inlineStr">
        <s:is>
          <s:t>EBITDA</s:t>
        </s:is>
      </s:c>
      <s:c r="C9" s="18">
        <s:f>'Transaction Assumptions'!C8</s:f>
        <s:v>224.3</s:v>
      </s:c>
      <s:c r="D9" s="29">
        <s:f>D5*D8</s:f>
        <s:v>235.42199999999997</s:v>
      </s:c>
      <s:c r="E9" s="29">
        <s:f>E5*E8</s:f>
        <s:v>253.50669</s:v>
      </s:c>
      <s:c r="F9" s="29">
        <s:f>F5*F8</s:f>
        <s:v>272.4645816</s:v>
      </s:c>
      <s:c r="G9" s="29">
        <s:f>G5*G8</s:f>
        <s:v>293.75087703749995</s:v>
      </s:c>
      <s:c r="H9" s="29">
        <s:f>H5*H8</s:f>
        <s:v>316.19344404316496</s:v>
      </s:c>
    </s:row>
    <s:row r="11">
      <s:c r="A11" s="7" t="inlineStr">
        <s:is>
          <s:t>Less: D&amp;A</s:t>
        </s:is>
      </s:c>
      <s:c r="D11" s="18">
        <s:f>-D5*'Transaction Assumptions'!D30</s:f>
        <s:v>-117.71099999999998</s:v>
      </s:c>
      <s:c r="E11" s="18">
        <s:f>-E5*'Transaction Assumptions'!E30</s:f>
        <s:v>-121.24233</s:v>
      </s:c>
      <s:c r="F11" s="18">
        <s:f>-F5*'Transaction Assumptions'!F30</s:f>
        <s:v>-124.8795999</s:v>
      </s:c>
      <s:c r="G11" s="18">
        <s:f>-G5*'Transaction Assumptions'!G30</s:f>
        <s:v>-129.2503858965</s:v>
      </s:c>
      <s:c r="H11" s="18">
        <s:f>-H5*'Transaction Assumptions'!H30</s:f>
        <s:v>-133.7741494028775</s:v>
      </s:c>
    </s:row>
    <s:row r="12">
      <s:c r="A12" s="8" t="inlineStr">
        <s:is>
          <s:t>EBIT</s:t>
        </s:is>
      </s:c>
      <s:c r="D12" s="29">
        <s:f>D9+D11</s:f>
        <s:v>117.71099999999998</s:v>
      </s:c>
      <s:c r="E12" s="29">
        <s:f>E9+E11</s:f>
        <s:v>132.26436</s:v>
      </s:c>
      <s:c r="F12" s="29">
        <s:f>F9+F11</s:f>
        <s:v>147.58498169999996</s:v>
      </s:c>
      <s:c r="G12" s="29">
        <s:f>G9+G11</s:f>
        <s:v>164.50049114099994</s:v>
      </s:c>
      <s:c r="H12" s="29">
        <s:f>H9+H11</s:f>
        <s:v>182.41929464028746</s:v>
      </s:c>
    </s:row>
    <s:row r="14">
      <s:c r="A14" s="7" t="inlineStr">
        <s:is>
          <s:t>Less: total interest expense (net)</s:t>
        </s:is>
      </s:c>
      <s:c r="D14" s="18">
        <s:f>'Debt Schedule'!D41</s:f>
        <s:v>-79.06575000000001</s:v>
      </s:c>
      <s:c r="E14" s="18">
        <s:f>'Debt Schedule'!E41</s:f>
        <s:v>-78.68306226250002</s:v>
      </s:c>
      <s:c r="F14" s="18">
        <s:f>'Debt Schedule'!F41</s:f>
        <s:v>-76.57409894779083</s:v>
      </s:c>
      <s:c r="G14" s="18">
        <s:f>'Debt Schedule'!G41</s:f>
        <s:v>-74.25746798967263</s:v>
      </s:c>
      <s:c r="H14" s="18">
        <s:f>'Debt Schedule'!H41</s:f>
        <s:v>-71.02702330346219</s:v>
      </s:c>
    </s:row>
    <s:row r="15">
      <s:c r="A15" s="7" t="inlineStr">
        <s:is>
          <s:t>Pretax income</s:t>
        </s:is>
      </s:c>
      <s:c r="D15" s="32">
        <s:f>D12+D14</s:f>
        <s:v>38.645249999999976</s:v>
      </s:c>
      <s:c r="E15" s="32">
        <s:f>E12+E14</s:f>
        <s:v>53.581297737499995</s:v>
      </s:c>
      <s:c r="F15" s="32">
        <s:f>F12+F14</s:f>
        <s:v>71.01088275220913</s:v>
      </s:c>
      <s:c r="G15" s="32">
        <s:f>G12+G14</s:f>
        <s:v>90.24302315132731</s:v>
      </s:c>
      <s:c r="H15" s="32">
        <s:f>H12+H14</s:f>
        <s:v>111.39227133682527</s:v>
      </s:c>
    </s:row>
    <s:row r="16">
      <s:c r="A16" s="7" t="inlineStr">
        <s:is>
          <s:t>Less: cash taxes</s:t>
        </s:is>
      </s:c>
      <s:c r="D16" s="18">
        <s:f>-MAX(0,D15)*'Transaction Assumptions'!D33</s:f>
        <s:v>-10.047764999999995</s:v>
      </s:c>
      <s:c r="E16" s="18">
        <s:f>-MAX(0,E15)*'Transaction Assumptions'!E33</s:f>
        <s:v>-13.931137411749999</s:v>
      </s:c>
      <s:c r="F16" s="18">
        <s:f>-MAX(0,F15)*'Transaction Assumptions'!F33</s:f>
        <s:v>-18.462829515574374</s:v>
      </s:c>
      <s:c r="G16" s="18">
        <s:f>-MAX(0,G15)*'Transaction Assumptions'!G33</s:f>
        <s:v>-23.463186019345102</s:v>
      </s:c>
      <s:c r="H16" s="18">
        <s:f>-MAX(0,H15)*'Transaction Assumptions'!H33</s:f>
        <s:v>-28.961990547574572</s:v>
      </s:c>
    </s:row>
    <s:row r="17">
      <s:c r="A17" s="8" t="inlineStr">
        <s:is>
          <s:t>Net income</s:t>
        </s:is>
      </s:c>
      <s:c r="D17" s="27">
        <s:f>D15+D16</s:f>
        <s:v>28.59748499999998</s:v>
      </s:c>
      <s:c r="E17" s="27">
        <s:f>E15+E16</s:f>
        <s:v>39.650160325749994</s:v>
      </s:c>
      <s:c r="F17" s="27">
        <s:f>F15+F16</s:f>
        <s:v>52.54805323663476</s:v>
      </s:c>
      <s:c r="G17" s="27">
        <s:f>G15+G16</s:f>
        <s:v>66.7798371319822</s:v>
      </s:c>
      <s:c r="H17" s="27">
        <s:f>H15+H16</s:f>
        <s:v>82.4302807892507</s:v>
      </s:c>
    </s:row>
    <s:row r="19">
      <s:c r="A19" s="7" t="inlineStr">
        <s:is>
          <s:t>Plus: D&amp;A (non-cash addback)</s:t>
        </s:is>
      </s:c>
      <s:c r="D19" s="32">
        <s:f>-D11</s:f>
        <s:v>117.71099999999998</s:v>
      </s:c>
      <s:c r="E19" s="32">
        <s:f>-E11</s:f>
        <s:v>121.24233</s:v>
      </s:c>
      <s:c r="F19" s="32">
        <s:f>-F11</s:f>
        <s:v>124.8795999</s:v>
      </s:c>
      <s:c r="G19" s="32">
        <s:f>-G11</s:f>
        <s:v>129.2503858965</s:v>
      </s:c>
      <s:c r="H19" s="32">
        <s:f>-H11</s:f>
        <s:v>133.7741494028775</s:v>
      </s:c>
    </s:row>
    <s:row r="20">
      <s:c r="A20" s="7" t="inlineStr">
        <s:is>
          <s:t>Less: capital expenditures</s:t>
        </s:is>
      </s:c>
      <s:c r="D20" s="18">
        <s:f>-D5*'Transaction Assumptions'!D31</s:f>
        <s:v>-131.97899999999998</s:v>
      </s:c>
      <s:c r="E20" s="18">
        <s:f>-E5*'Transaction Assumptions'!E31</s:f>
        <s:v>-135.93837</s:v>
      </s:c>
      <s:c r="F20" s="18">
        <s:f>-F5*'Transaction Assumptions'!F31</s:f>
        <s:v>-140.01652109999998</s:v>
      </s:c>
      <s:c r="G20" s="18">
        <s:f>-G5*'Transaction Assumptions'!G31</s:f>
        <s:v>-144.91709933849998</s:v>
      </s:c>
      <s:c r="H20" s="18">
        <s:f>-H5*'Transaction Assumptions'!H31</s:f>
        <s:v>-149.98919781534747</s:v>
      </s:c>
    </s:row>
    <s:row r="21">
      <s:c r="A21" s="7" t="inlineStr">
        <s:is>
          <s:t>Less: increase in net working capital</s:t>
        </s:is>
      </s:c>
      <s:c r="D21" s="18">
        <s:f>-(D5-C5)*'Transaction Assumptions'!D32</s:f>
        <s:v>-1.7399999999999909</s:v>
      </s:c>
      <s:c r="E21" s="18">
        <s:f>-(E5-D5)*'Transaction Assumptions'!E32</s:f>
        <s:v>-2.1402000000000045</s:v>
      </s:c>
      <s:c r="F21" s="18">
        <s:f>-(F5-E5)*'Transaction Assumptions'!F32</s:f>
        <s:v>-2.204405999999999</s:v>
      </s:c>
      <s:c r="G21" s="18">
        <s:f>-(G5-F5)*'Transaction Assumptions'!G32</s:f>
        <s:v>-2.6489612099999977</s:v>
      </s:c>
      <s:c r="H21" s="18">
        <s:f>-(H5-G5)*'Transaction Assumptions'!H32</s:f>
        <s:v>-2.7416748523499974</s:v>
      </s:c>
    </s:row>
    <s:row r="22">
      <s:c r="A22" s="8" t="inlineStr">
        <s:is>
          <s:t>Free cash flow before mandatory amortization &amp; sweep</s:t>
        </s:is>
      </s:c>
      <s:c r="D22" s="27">
        <s:f>D17+D19+D20+D21</s:f>
        <s:v>12.589484999999986</s:v>
      </s:c>
      <s:c r="E22" s="27">
        <s:f>E17+E19+E20+E21</s:f>
        <s:v>22.81392032574998</s:v>
      </s:c>
      <s:c r="F22" s="27">
        <s:f>F17+F19+F20+F21</s:f>
        <s:v>35.2067260366348</s:v>
      </s:c>
      <s:c r="G22" s="27">
        <s:f>G17+G19+G20+G21</s:f>
        <s:v>48.46416247998225</s:v>
      </s:c>
      <s:c r="H22" s="27">
        <s:f>H17+H19+H20+H21</s:f>
        <s:v>63.47355752443074</s:v>
      </s:c>
    </s:row>
  </s:sheetData>
  <s:pageMargins left="0.75" right="0.75" top="1" bottom="1" header="0.5" footer="0.5"/>
  <s:legacyDrawing r:id="anysvml"/>
</s:worksheet>
</file>

<file path=xl/worksheets/sheet6.xml><?xml version="1.0" encoding="utf-8"?>
<s:worksheet xmlns:s="http://schemas.openxmlformats.org/spreadsheetml/2006/main">
  <s:sheetPr>
    <s:outlinePr summaryBelow="1" summaryRight="1"/>
    <s:pageSetUpPr/>
  </s:sheetPr>
  <s:dimension ref="A1:H37"/>
  <s:sheetViews>
    <s:sheetView workbookViewId="0">
      <s:pane xSplit="1" ySplit="2" topLeftCell="B3" activePane="bottomRight" state="frozen"/>
      <s:selection pane="topRight"/>
      <s:selection pane="bottomLeft"/>
      <s:selection pane="bottomRight" activeCell="A1" sqref="A1"/>
    </s:sheetView>
  </s:sheetViews>
  <s:sheetFormatPr baseColWidth="8" defaultRowHeight="15"/>
  <s:cols>
    <s:col width="52" customWidth="1" min="1" max="1"/>
    <s:col width="14" customWidth="1" min="2" max="2"/>
    <s:col width="14" customWidth="1" min="3" max="3"/>
    <s:col width="14" customWidth="1" min="4" max="4"/>
    <s:col width="14" customWidth="1" min="5" max="5"/>
    <s:col width="14" customWidth="1" min="6" max="6"/>
    <s:col width="14" customWidth="1" min="7" max="7"/>
    <s:col width="50" customWidth="1" min="8" max="8"/>
  </s:cols>
  <s:sheetData>
    <s:row r="1">
      <s:c r="A1" s="1" t="inlineStr">
        <s:is>
          <s:t>Returns Analysis — IRR / MOIC</s:t>
        </s:is>
      </s:c>
    </s:row>
    <s:row r="3">
      <s:c r="A3" s="12" t="inlineStr">
        <s:is>
          <s:t>EXIT WATERFALL (base case: Year 5 / FY2031E exit)</s:t>
        </s:is>
      </s:c>
      <s:c r="B3" s="12" t="n"/>
      <s:c r="C3" s="12" t="n"/>
      <s:c r="D3" s="12" t="n"/>
      <s:c r="E3" s="12" t="n"/>
      <s:c r="F3" s="12" t="n"/>
      <s:c r="G3" s="12" t="n"/>
    </s:row>
    <s:row r="4">
      <s:c r="A4" s="7" t="inlineStr">
        <s:is>
          <s:t>Exit year</s:t>
        </s:is>
      </s:c>
      <s:c r="C4" s="10">
        <s:f>'Transaction Assumptions'!C36</s:f>
        <s:v>5.0</s:v>
      </s:c>
    </s:row>
    <s:row r="5">
      <s:c r="A5" s="7" t="inlineStr">
        <s:is>
          <s:t>Exit-year EBITDA</s:t>
        </s:is>
      </s:c>
      <s:c r="C5" s="18">
        <s:f>'Operating Model'!H9</s:f>
        <s:v>316.19344404316496</s:v>
      </s:c>
    </s:row>
    <s:row r="6">
      <s:c r="A6" s="7" t="inlineStr">
        <s:is>
          <s:t>Exit EV/EBITDA multiple</s:t>
        </s:is>
      </s:c>
      <s:c r="C6" s="33">
        <s:f>'Transaction Assumptions'!C37</s:f>
        <s:v>9.5</s:v>
      </s:c>
    </s:row>
    <s:row r="7">
      <s:c r="A7" s="7" t="inlineStr">
        <s:is>
          <s:t>Exit enterprise value</s:t>
        </s:is>
      </s:c>
      <s:c r="C7" s="32">
        <s:f>C5*C6</s:f>
        <s:v>3003.8377184100673</s:v>
      </s:c>
    </s:row>
    <s:row r="8">
      <s:c r="A8" s="7" t="inlineStr">
        <s:is>
          <s:t>Less: exit transaction fees</s:t>
        </s:is>
      </s:c>
      <s:c r="C8" s="18">
        <s:f>-C7*'Transaction Assumptions'!C38</s:f>
        <s:v>-45.05756577615101</s:v>
      </s:c>
    </s:row>
    <s:row r="9">
      <s:c r="A9" s="7" t="inlineStr">
        <s:is>
          <s:t>Less: net debt at exit</s:t>
        </s:is>
      </s:c>
      <s:c r="C9" s="18">
        <s:f>-'Debt Schedule'!H42</s:f>
        <s:v>-814.8021486332025</s:v>
      </s:c>
    </s:row>
    <s:row r="10">
      <s:c r="A10" s="8" t="inlineStr">
        <s:is>
          <s:t>Exit equity value</s:t>
        </s:is>
      </s:c>
      <s:c r="C10" s="27">
        <s:f>C7+C8+C9</s:f>
        <s:v>2143.9780040007136</s:v>
      </s:c>
    </s:row>
    <s:row r="12">
      <s:c r="A12" s="12" t="inlineStr">
        <s:is>
          <s:t>RETURNS SUMMARY</s:t>
        </s:is>
      </s:c>
      <s:c r="B12" s="12" t="n"/>
      <s:c r="C12" s="12" t="n"/>
      <s:c r="D12" s="12" t="n"/>
      <s:c r="E12" s="12" t="n"/>
      <s:c r="F12" s="12" t="n"/>
      <s:c r="G12" s="12" t="n"/>
    </s:row>
    <s:row r="13">
      <s:c r="A13" s="7" t="inlineStr">
        <s:is>
          <s:t>Entry sponsor equity investment</s:t>
        </s:is>
      </s:c>
      <s:c r="C13" s="18">
        <s:f>'Sources &amp; Uses'!B16</s:f>
        <s:v>1093.7403089999996</s:v>
      </s:c>
    </s:row>
    <s:row r="14">
      <s:c r="A14" s="7" t="inlineStr">
        <s:is>
          <s:t>Exit equity value</s:t>
        </s:is>
      </s:c>
      <s:c r="C14" s="32">
        <s:f>C10</s:f>
        <s:v>2143.9780040007136</s:v>
      </s:c>
    </s:row>
    <s:row r="15">
      <s:c r="A15" s="8" t="inlineStr">
        <s:is>
          <s:t>MOIC (multiple of invested capital)</s:t>
        </s:is>
      </s:c>
      <s:c r="C15" s="40">
        <s:f>C14/C13</s:f>
        <s:v>1.9602258290735761</s:v>
      </s:c>
    </s:row>
    <s:row r="16">
      <s:c r="A16" s="8" t="inlineStr">
        <s:is>
          <s:t>IRR (5-year hold, no interim distributions)</s:t>
        </s:is>
      </s:c>
      <s:c r="C16" s="41">
        <s:f>(C15)^(1/C4)-1</s:f>
        <s:v>0.14409271826063463</s:v>
      </s:c>
    </s:row>
    <s:row r="17">
      <s:c r="A17" s="7" t="inlineStr">
        <s:is>
          <s:t>Implied entry EV / FY2025A Adj. EBITDA</s:t>
        </s:is>
      </s:c>
      <s:c r="C17" s="33">
        <s:f>'Sources &amp; Uses'!B23</s:f>
        <s:v>9.191341729826124</s:v>
      </s:c>
    </s:row>
    <s:row r="18">
      <s:c r="A18" s="7" t="inlineStr">
        <s:is>
          <s:t>Opening leverage (x EBITDA)</s:t>
        </s:is>
      </s:c>
      <s:c r="C18" s="33">
        <s:f>'Sources &amp; Uses'!B24</s:f>
        <s:v>4.5</s:v>
      </s:c>
    </s:row>
    <s:row r="19">
      <s:c r="A19" s="7" t="inlineStr">
        <s:is>
          <s:t>Exit leverage (x EBITDA)</s:t>
        </s:is>
      </s:c>
      <s:c r="C19" s="33">
        <s:f>'Debt Schedule'!H43</s:f>
        <s:v>2.576910318614861</s:v>
      </s:c>
    </s:row>
    <s:row r="21">
      <s:c r="A21" s="12" t="inlineStr">
        <s:is>
          <s:t>SENSITIVITY 1 — IRR by Exit Year (rows) vs. Exit EV/EBITDA Multiple (columns)</s:t>
        </s:is>
      </s:c>
      <s:c r="B21" s="12" t="n"/>
      <s:c r="C21" s="12" t="n"/>
      <s:c r="D21" s="12" t="n"/>
      <s:c r="E21" s="12" t="n"/>
      <s:c r="F21" s="12" t="n"/>
      <s:c r="G21" s="12" t="n"/>
    </s:row>
    <s:row r="23">
      <s:c r="B23" s="8" t="inlineStr">
        <s:is>
          <s:t>Exit Yr \ Multiple</s:t>
        </s:is>
      </s:c>
      <s:c r="C23" s="42">
        <s:f>$C$6+-2</s:f>
        <s:v>7.5</s:v>
      </s:c>
      <s:c r="D23" s="42">
        <s:f>$C$6+-1</s:f>
        <s:v>8.5</s:v>
      </s:c>
      <s:c r="E23" s="42">
        <s:f>$C$6+0</s:f>
        <s:v>9.5</s:v>
      </s:c>
      <s:c r="F23" s="42">
        <s:f>$C$6+1</s:f>
        <s:v>10.5</s:v>
      </s:c>
      <s:c r="G23" s="42">
        <s:f>$C$6+2</s:f>
        <s:v>11.5</s:v>
      </s:c>
    </s:row>
    <s:row r="24">
      <s:c r="B24" s="23" t="n">
        <s:v>3</s:v>
      </s:c>
      <s:c r="C24" s="37">
        <s:f>((('Operating Model'!F9*C$23)*(1-'Transaction Assumptions'!$C$38)-'Debt Schedule'!F42)/'Sources &amp; Uses'!$B$16)^(1/3)-1</s:f>
        <s:v>-0.0023363185396749753</s:v>
      </s:c>
      <s:c r="D24" s="37">
        <s:f>((('Operating Model'!F9*D$23)*(1-'Transaction Assumptions'!$C$38)-'Debt Schedule'!F42)/'Sources &amp; Uses'!$B$16)^(1/3)-1</s:f>
        <s:v>0.0738699929395823</s:v>
      </s:c>
      <s:c r="E24" s="37">
        <s:f>((('Operating Model'!F9*E$23)*(1-'Transaction Assumptions'!$C$38)-'Debt Schedule'!F42)/'Sources &amp; Uses'!$B$16)^(1/3)-1</s:f>
        <s:v>0.14056794056097655</s:v>
      </s:c>
      <s:c r="F24" s="37">
        <s:f>((('Operating Model'!F9*F$23)*(1-'Transaction Assumptions'!$C$38)-'Debt Schedule'!F42)/'Sources &amp; Uses'!$B$16)^(1/3)-1</s:f>
        <s:v>0.20026276227105422</s:v>
      </s:c>
      <s:c r="G24" s="37">
        <s:f>((('Operating Model'!F9*G$23)*(1-'Transaction Assumptions'!$C$38)-'Debt Schedule'!F42)/'Sources &amp; Uses'!$B$16)^(1/3)-1</s:f>
        <s:v>0.25454587426159003</s:v>
      </s:c>
    </s:row>
    <s:row r="25">
      <s:c r="B25" s="23" t="n">
        <s:v>4</s:v>
      </s:c>
      <s:c r="C25" s="37">
        <s:f>((('Operating Model'!G9*C$23)*(1-'Transaction Assumptions'!$C$38)-'Debt Schedule'!G42)/'Sources &amp; Uses'!$B$16)^(1/4)-1</s:f>
        <s:v>0.04248787724233494</s:v>
      </s:c>
      <s:c r="D25" s="37">
        <s:f>((('Operating Model'!G9*D$23)*(1-'Transaction Assumptions'!$C$38)-'Debt Schedule'!G42)/'Sources &amp; Uses'!$B$16)^(1/4)-1</s:f>
        <s:v>0.09651595354415288</s:v>
      </s:c>
      <s:c r="E25" s="37">
        <s:f>((('Operating Model'!G9*E$23)*(1-'Transaction Assumptions'!$C$38)-'Debt Schedule'!G42)/'Sources &amp; Uses'!$B$16)^(1/4)-1</s:f>
        <s:v>0.14356476297147025</s:v>
      </s:c>
      <s:c r="F25" s="37">
        <s:f>((('Operating Model'!G9*F$23)*(1-'Transaction Assumptions'!$C$38)-'Debt Schedule'!G42)/'Sources &amp; Uses'!$B$16)^(1/4)-1</s:f>
        <s:v>0.18543290523801903</s:v>
      </s:c>
      <s:c r="G25" s="37">
        <s:f>((('Operating Model'!G9*G$23)*(1-'Transaction Assumptions'!$C$38)-'Debt Schedule'!G42)/'Sources &amp; Uses'!$B$16)^(1/4)-1</s:f>
        <s:v>0.22328302025167068</s:v>
      </s:c>
    </s:row>
    <s:row r="26">
      <s:c r="B26" s="23" t="n">
        <s:v>5</s:v>
      </s:c>
      <s:c r="C26" s="37">
        <s:f>((('Operating Model'!H9*C$23)*(1-'Transaction Assumptions'!$C$38)-'Debt Schedule'!H42)/'Sources &amp; Uses'!$B$16)^(1/5)-1</s:f>
        <s:v>0.06818725443387996</s:v>
      </s:c>
      <s:c r="D26" s="37">
        <s:f>((('Operating Model'!H9*D$23)*(1-'Transaction Assumptions'!$C$38)-'Debt Schedule'!H42)/'Sources &amp; Uses'!$B$16)^(1/5)-1</s:f>
        <s:v>0.10873371680125743</s:v>
      </s:c>
      <s:c r="E26" s="41">
        <s:f>((('Operating Model'!H9*E$23)*(1-'Transaction Assumptions'!$C$38)-'Debt Schedule'!H42)/'Sources &amp; Uses'!$B$16)^(1/5)-1</s:f>
        <s:v>0.14409271826063463</s:v>
      </s:c>
      <s:c r="F26" s="37">
        <s:f>((('Operating Model'!H9*F$23)*(1-'Transaction Assumptions'!$C$38)-'Debt Schedule'!H42)/'Sources &amp; Uses'!$B$16)^(1/5)-1</s:f>
        <s:v>0.17555408914030424</s:v>
      </s:c>
      <s:c r="G26" s="37">
        <s:f>((('Operating Model'!H9*G$23)*(1-'Transaction Assumptions'!$C$38)-'Debt Schedule'!H42)/'Sources &amp; Uses'!$B$16)^(1/5)-1</s:f>
        <s:v>0.2039686890671495</s:v>
      </s:c>
    </s:row>
    <s:row r="27">
      <s:c r="H27" s="43" t="inlineStr">
        <s:is>
          <s:t>Uses actual per-year EBITDA &amp; net debt from the Debt Schedule; only exit year and exit multiple vary.</s:t>
        </s:is>
      </s:c>
    </s:row>
    <s:row r="29">
      <s:c r="A29" s="12" t="inlineStr">
        <s:is>
          <s:t>SENSITIVITY 2 — IRR by Entry Offer Premium (rows) vs. Exit EV/EBITDA Multiple (columns)</s:t>
        </s:is>
      </s:c>
      <s:c r="B29" s="12" t="n"/>
      <s:c r="C29" s="12" t="n"/>
      <s:c r="D29" s="12" t="n"/>
      <s:c r="E29" s="12" t="n"/>
      <s:c r="F29" s="12" t="n"/>
      <s:c r="G29" s="12" t="n"/>
    </s:row>
    <s:row r="30" ht="40" customHeight="1">
      <s:c r="A30" s="44" t="inlineStr">
        <s:is>
          <s:t>Simplification: the dollar amount of new debt raised and cash used at close are held fixed across premium scenarios (i.e., financing sized off EBITDA, not price paid) — only the sponsor's equity check flexes with the price paid. Exit-year economics use the base-case (30% premium) debt paydown path.</s:t>
        </s:is>
      </s:c>
    </s:row>
    <s:row r="32">
      <s:c r="B32" s="8" t="inlineStr">
        <s:is>
          <s:t>Premium \ Multiple</s:t>
        </s:is>
      </s:c>
      <s:c r="C32" s="42">
        <s:f>$C$6+-2</s:f>
        <s:v>7.5</s:v>
      </s:c>
      <s:c r="D32" s="42">
        <s:f>$C$6+-1</s:f>
        <s:v>8.5</s:v>
      </s:c>
      <s:c r="E32" s="42">
        <s:f>$C$6+0</s:f>
        <s:v>9.5</s:v>
      </s:c>
      <s:c r="F32" s="42">
        <s:f>$C$6+1</s:f>
        <s:v>10.5</s:v>
      </s:c>
      <s:c r="G32" s="42">
        <s:f>$C$6+2</s:f>
        <s:v>11.5</s:v>
      </s:c>
    </s:row>
    <s:row r="33">
      <s:c r="B33" s="45">
        <s:f>'Transaction Assumptions'!$C$5+-0.15</s:f>
        <s:v>0.15</s:v>
      </s:c>
      <s:c r="C33" s="37">
        <s:f>((C10)/((('Transaction Assumptions'!$C$4*(1+$B33)*'Transaction Assumptions'!$C$7+'Sources &amp; Uses'!$B$5)*(1+'Transaction Assumptions'!$C$25)-'Sources &amp; Uses'!$B$14-'Sources &amp; Uses'!$B$15)))^(1/$C$4)-1</s:f>
        <s:v>0.18781535627017965</s:v>
      </s:c>
      <s:c r="D33" s="37">
        <s:f>((C10)/((('Transaction Assumptions'!$C$4*(1+$B33)*'Transaction Assumptions'!$C$7+'Sources &amp; Uses'!$B$5)*(1+'Transaction Assumptions'!$C$25)-'Sources &amp; Uses'!$B$14-'Sources &amp; Uses'!$B$15)))^(1/$C$4)-1</s:f>
        <s:v>0.18781535627017965</s:v>
      </s:c>
      <s:c r="E33" s="37">
        <s:f>((C10)/((('Transaction Assumptions'!$C$4*(1+$B33)*'Transaction Assumptions'!$C$7+'Sources &amp; Uses'!$B$5)*(1+'Transaction Assumptions'!$C$25)-'Sources &amp; Uses'!$B$14-'Sources &amp; Uses'!$B$15)))^(1/$C$4)-1</s:f>
        <s:v>0.18781535627017965</s:v>
      </s:c>
      <s:c r="F33" s="37">
        <s:f>((C10)/((('Transaction Assumptions'!$C$4*(1+$B33)*'Transaction Assumptions'!$C$7+'Sources &amp; Uses'!$B$5)*(1+'Transaction Assumptions'!$C$25)-'Sources &amp; Uses'!$B$14-'Sources &amp; Uses'!$B$15)))^(1/$C$4)-1</s:f>
        <s:v>0.18781535627017965</s:v>
      </s:c>
      <s:c r="G33" s="37">
        <s:f>((C10)/((('Transaction Assumptions'!$C$4*(1+$B33)*'Transaction Assumptions'!$C$7+'Sources &amp; Uses'!$B$5)*(1+'Transaction Assumptions'!$C$25)-'Sources &amp; Uses'!$B$14-'Sources &amp; Uses'!$B$15)))^(1/$C$4)-1</s:f>
        <s:v>0.18781535627017965</s:v>
      </s:c>
    </s:row>
    <s:row r="34">
      <s:c r="B34" s="45">
        <s:f>'Transaction Assumptions'!$C$5+-0.075</s:f>
        <s:v>0.22499999999999998</s:v>
      </s:c>
      <s:c r="C34" s="37">
        <s:f>((C10)/((('Transaction Assumptions'!$C$4*(1+$B34)*'Transaction Assumptions'!$C$7+'Sources &amp; Uses'!$B$5)*(1+'Transaction Assumptions'!$C$25)-'Sources &amp; Uses'!$B$14-'Sources &amp; Uses'!$B$15)))^(1/$C$4)-1</s:f>
        <s:v>0.1647262249178818</s:v>
      </s:c>
      <s:c r="D34" s="37">
        <s:f>((C10)/((('Transaction Assumptions'!$C$4*(1+$B34)*'Transaction Assumptions'!$C$7+'Sources &amp; Uses'!$B$5)*(1+'Transaction Assumptions'!$C$25)-'Sources &amp; Uses'!$B$14-'Sources &amp; Uses'!$B$15)))^(1/$C$4)-1</s:f>
        <s:v>0.1647262249178818</s:v>
      </s:c>
      <s:c r="E34" s="37">
        <s:f>((C10)/((('Transaction Assumptions'!$C$4*(1+$B34)*'Transaction Assumptions'!$C$7+'Sources &amp; Uses'!$B$5)*(1+'Transaction Assumptions'!$C$25)-'Sources &amp; Uses'!$B$14-'Sources &amp; Uses'!$B$15)))^(1/$C$4)-1</s:f>
        <s:v>0.1647262249178818</s:v>
      </s:c>
      <s:c r="F34" s="37">
        <s:f>((C10)/((('Transaction Assumptions'!$C$4*(1+$B34)*'Transaction Assumptions'!$C$7+'Sources &amp; Uses'!$B$5)*(1+'Transaction Assumptions'!$C$25)-'Sources &amp; Uses'!$B$14-'Sources &amp; Uses'!$B$15)))^(1/$C$4)-1</s:f>
        <s:v>0.1647262249178818</s:v>
      </s:c>
      <s:c r="G34" s="37">
        <s:f>((C10)/((('Transaction Assumptions'!$C$4*(1+$B34)*'Transaction Assumptions'!$C$7+'Sources &amp; Uses'!$B$5)*(1+'Transaction Assumptions'!$C$25)-'Sources &amp; Uses'!$B$14-'Sources &amp; Uses'!$B$15)))^(1/$C$4)-1</s:f>
        <s:v>0.1647262249178818</s:v>
      </s:c>
    </s:row>
    <s:row r="35">
      <s:c r="B35" s="45">
        <s:f>'Transaction Assumptions'!$C$5+0</s:f>
        <s:v>0.3</s:v>
      </s:c>
      <s:c r="C35" s="37">
        <s:f>((C10)/((('Transaction Assumptions'!$C$4*(1+$B35)*'Transaction Assumptions'!$C$7+'Sources &amp; Uses'!$B$5)*(1+'Transaction Assumptions'!$C$25)-'Sources &amp; Uses'!$B$14-'Sources &amp; Uses'!$B$15)))^(1/$C$4)-1</s:f>
        <s:v>0.14409271826063463</s:v>
      </s:c>
      <s:c r="D35" s="37">
        <s:f>((C10)/((('Transaction Assumptions'!$C$4*(1+$B35)*'Transaction Assumptions'!$C$7+'Sources &amp; Uses'!$B$5)*(1+'Transaction Assumptions'!$C$25)-'Sources &amp; Uses'!$B$14-'Sources &amp; Uses'!$B$15)))^(1/$C$4)-1</s:f>
        <s:v>0.14409271826063463</s:v>
      </s:c>
      <s:c r="E35" s="41">
        <s:f>((C10)/((('Transaction Assumptions'!$C$4*(1+$B35)*'Transaction Assumptions'!$C$7+'Sources &amp; Uses'!$B$5)*(1+'Transaction Assumptions'!$C$25)-'Sources &amp; Uses'!$B$14-'Sources &amp; Uses'!$B$15)))^(1/$C$4)-1</s:f>
        <s:v>0.14409271826063463</s:v>
      </s:c>
      <s:c r="F35" s="37">
        <s:f>((C10)/((('Transaction Assumptions'!$C$4*(1+$B35)*'Transaction Assumptions'!$C$7+'Sources &amp; Uses'!$B$5)*(1+'Transaction Assumptions'!$C$25)-'Sources &amp; Uses'!$B$14-'Sources &amp; Uses'!$B$15)))^(1/$C$4)-1</s:f>
        <s:v>0.14409271826063463</s:v>
      </s:c>
      <s:c r="G35" s="37">
        <s:f>((C10)/((('Transaction Assumptions'!$C$4*(1+$B35)*'Transaction Assumptions'!$C$7+'Sources &amp; Uses'!$B$5)*(1+'Transaction Assumptions'!$C$25)-'Sources &amp; Uses'!$B$14-'Sources &amp; Uses'!$B$15)))^(1/$C$4)-1</s:f>
        <s:v>0.14409271826063463</s:v>
      </s:c>
    </s:row>
    <s:row r="36">
      <s:c r="B36" s="45">
        <s:f>'Transaction Assumptions'!$C$5+0.075</s:f>
        <s:v>0.375</s:v>
      </s:c>
      <s:c r="C36" s="37">
        <s:f>((C10)/((('Transaction Assumptions'!$C$4*(1+$B36)*'Transaction Assumptions'!$C$7+'Sources &amp; Uses'!$B$5)*(1+'Transaction Assumptions'!$C$25)-'Sources &amp; Uses'!$B$14-'Sources &amp; Uses'!$B$15)))^(1/$C$4)-1</s:f>
        <s:v>0.12547481928875404</s:v>
      </s:c>
      <s:c r="D36" s="37">
        <s:f>((C10)/((('Transaction Assumptions'!$C$4*(1+$B36)*'Transaction Assumptions'!$C$7+'Sources &amp; Uses'!$B$5)*(1+'Transaction Assumptions'!$C$25)-'Sources &amp; Uses'!$B$14-'Sources &amp; Uses'!$B$15)))^(1/$C$4)-1</s:f>
        <s:v>0.12547481928875404</s:v>
      </s:c>
      <s:c r="E36" s="37">
        <s:f>((C10)/((('Transaction Assumptions'!$C$4*(1+$B36)*'Transaction Assumptions'!$C$7+'Sources &amp; Uses'!$B$5)*(1+'Transaction Assumptions'!$C$25)-'Sources &amp; Uses'!$B$14-'Sources &amp; Uses'!$B$15)))^(1/$C$4)-1</s:f>
        <s:v>0.12547481928875404</s:v>
      </s:c>
      <s:c r="F36" s="37">
        <s:f>((C10)/((('Transaction Assumptions'!$C$4*(1+$B36)*'Transaction Assumptions'!$C$7+'Sources &amp; Uses'!$B$5)*(1+'Transaction Assumptions'!$C$25)-'Sources &amp; Uses'!$B$14-'Sources &amp; Uses'!$B$15)))^(1/$C$4)-1</s:f>
        <s:v>0.12547481928875404</s:v>
      </s:c>
      <s:c r="G36" s="37">
        <s:f>((C10)/((('Transaction Assumptions'!$C$4*(1+$B36)*'Transaction Assumptions'!$C$7+'Sources &amp; Uses'!$B$5)*(1+'Transaction Assumptions'!$C$25)-'Sources &amp; Uses'!$B$14-'Sources &amp; Uses'!$B$15)))^(1/$C$4)-1</s:f>
        <s:v>0.12547481928875404</s:v>
      </s:c>
    </s:row>
    <s:row r="37">
      <s:c r="B37" s="45">
        <s:f>'Transaction Assumptions'!$C$5+0.15</s:f>
        <s:v>0.44999999999999996</s:v>
      </s:c>
      <s:c r="C37" s="37">
        <s:f>((C10)/((('Transaction Assumptions'!$C$4*(1+$B37)*'Transaction Assumptions'!$C$7+'Sources &amp; Uses'!$B$5)*(1+'Transaction Assumptions'!$C$25)-'Sources &amp; Uses'!$B$14-'Sources &amp; Uses'!$B$15)))^(1/$C$4)-1</s:f>
        <s:v>0.10853859785298803</s:v>
      </s:c>
      <s:c r="D37" s="37">
        <s:f>((C10)/((('Transaction Assumptions'!$C$4*(1+$B37)*'Transaction Assumptions'!$C$7+'Sources &amp; Uses'!$B$5)*(1+'Transaction Assumptions'!$C$25)-'Sources &amp; Uses'!$B$14-'Sources &amp; Uses'!$B$15)))^(1/$C$4)-1</s:f>
        <s:v>0.10853859785298803</s:v>
      </s:c>
      <s:c r="E37" s="37">
        <s:f>((C10)/((('Transaction Assumptions'!$C$4*(1+$B37)*'Transaction Assumptions'!$C$7+'Sources &amp; Uses'!$B$5)*(1+'Transaction Assumptions'!$C$25)-'Sources &amp; Uses'!$B$14-'Sources &amp; Uses'!$B$15)))^(1/$C$4)-1</s:f>
        <s:v>0.10853859785298803</s:v>
      </s:c>
      <s:c r="F37" s="37">
        <s:f>((C10)/((('Transaction Assumptions'!$C$4*(1+$B37)*'Transaction Assumptions'!$C$7+'Sources &amp; Uses'!$B$5)*(1+'Transaction Assumptions'!$C$25)-'Sources &amp; Uses'!$B$14-'Sources &amp; Uses'!$B$15)))^(1/$C$4)-1</s:f>
        <s:v>0.10853859785298803</s:v>
      </s:c>
      <s:c r="G37" s="37">
        <s:f>((C10)/((('Transaction Assumptions'!$C$4*(1+$B37)*'Transaction Assumptions'!$C$7+'Sources &amp; Uses'!$B$5)*(1+'Transaction Assumptions'!$C$25)-'Sources &amp; Uses'!$B$14-'Sources &amp; Uses'!$B$15)))^(1/$C$4)-1</s:f>
        <s:v>0.10853859785298803</s:v>
      </s:c>
    </s:row>
  </s:sheetData>
  <s:mergeCells count="1">
    <s:mergeCell ref="A30:G30"/>
  </s:mergeCells>
  <s:pageMargins left="0.75" right="0.75" top="1" bottom="1" header="0.5" footer="0.5"/>
</s:worksheet>
</file>

<file path=xl/worksheets/sheet7.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cols>
    <col width="10" customWidth="1" min="1" max="1"/>
    <col width="44" customWidth="1" min="2" max="2"/>
    <col width="82" customWidth="1" min="3" max="3"/>
  </cols>
  <sheetData>
    <row r="1">
      <c r="A1" s="1" t="inlineStr">
        <is>
          <t>Sources &amp; Assumptions — Full Disclosure</t>
        </is>
      </c>
    </row>
    <row r="3" ht="75" customHeight="1">
      <c r="A3" s="46" t="inlineStr">
        <is>
          <t>This is a HYPOTHETICAL sponsor buyout — no such transaction has been announced for Cracker Barrel. The target's real FY2024A/FY2025A financials anchor the model; the transaction structure, financing terms and operating projections are illustrative analyst assumptions. Direct access to SEC EDGAR / stockanalysis.com / press-release wires was blocked by this session's network egress policy, so every 'SOURCED' figure below was obtained via search-engine synthesis of the underlying filings/releases rather than a direct read of the primary document.</t>
        </is>
      </c>
    </row>
    <row r="5">
      <c r="A5" s="47" t="inlineStr">
        <is>
          <t>#</t>
        </is>
      </c>
      <c r="B5" s="47" t="inlineStr">
        <is>
          <t>Item</t>
        </is>
      </c>
      <c r="C5" s="47" t="inlineStr">
        <is>
          <t>Detail / Citation</t>
        </is>
      </c>
    </row>
    <row r="6" ht="48" customHeight="1">
      <c r="A6" s="48" t="inlineStr">
        <is>
          <t>SOURCED</t>
        </is>
      </c>
      <c r="B6" s="8" t="inlineStr">
        <is>
          <t>FY2025A revenue</t>
        </is>
      </c>
      <c r="C6" s="46" t="inlineStr">
        <is>
          <t>$3.48bn, +0.4% YoY (or +2.2% adjusted for a prior-year 53rd week) — Cracker Barrel fiscal Q4/full-year 2025 earnings release.</t>
        </is>
      </c>
    </row>
    <row r="7" ht="48" customHeight="1">
      <c r="A7" s="48" t="inlineStr">
        <is>
          <t>SOURCED</t>
        </is>
      </c>
      <c r="B7" s="8" t="inlineStr">
        <is>
          <t>FY2025A Adjusted EBITDA</t>
        </is>
      </c>
      <c r="C7" s="46" t="inlineStr">
        <is>
          <t>$224.3mm, +9% YoY — Cracker Barrel fiscal Q4/full-year 2025 earnings release.</t>
        </is>
      </c>
    </row>
    <row r="8" ht="48" customHeight="1">
      <c r="A8" s="48" t="inlineStr">
        <is>
          <t>SOURCED</t>
        </is>
      </c>
      <c r="B8" s="8" t="inlineStr">
        <is>
          <t>FY2025A GAAP operating income / net income</t>
        </is>
      </c>
      <c r="C8" s="46" t="inlineStr">
        <is>
          <t>$75.09mm / $46.4mm; interest expense, net $20.489mm; effective tax rate ~22.9% — fiscal 2025 earnings release (via search synthesis).</t>
        </is>
      </c>
    </row>
    <row r="9" ht="48" customHeight="1">
      <c r="A9" s="48" t="inlineStr">
        <is>
          <t>SOURCED</t>
        </is>
      </c>
      <c r="B9" s="8" t="inlineStr">
        <is>
          <t>FY2025A total debt &amp; leverage</t>
        </is>
      </c>
      <c r="C9" s="46" t="inlineStr">
        <is>
          <t>$484.6mm (0.625% convertible notes due 2026, $149.2mm + 1.75% convertible notes due 2030, $335.4mm); consolidated total leverage ratio 2.0x; available liquidity $555.6mm.</t>
        </is>
      </c>
    </row>
    <row r="10" ht="48" customHeight="1">
      <c r="A10" s="48" t="inlineStr">
        <is>
          <t>SOURCED</t>
        </is>
      </c>
      <c r="B10" s="8" t="inlineStr">
        <is>
          <t>FY2024A balance sheet detail</t>
        </is>
      </c>
      <c r="C10" s="46" t="inlineStr">
        <is>
          <t>Cash $12.0mm, AR $39.2mm, inventory $181.0mm, net PP&amp;E $959.8mm, total assets $2,161.5mm, AP $162.3mm, LT debt $476.6mm, total equity $440.1mm — FY2024 Form 10-K (period ended 8/2/2024, via search synthesis).</t>
        </is>
      </c>
    </row>
    <row r="11" ht="48" customHeight="1">
      <c r="A11" s="48" t="inlineStr">
        <is>
          <t>SOURCED</t>
        </is>
      </c>
      <c r="B11" s="8" t="inlineStr">
        <is>
          <t>FY2024A capex &amp; D&amp;A</t>
        </is>
      </c>
      <c r="C11" s="46" t="inlineStr">
        <is>
          <t>Capital expenditures (net of insurance recoveries) $127.5mm; depreciation $111.0mm — FY2024 Form 10-K.</t>
        </is>
      </c>
    </row>
    <row r="12" ht="48" customHeight="1">
      <c r="A12" s="48" t="inlineStr">
        <is>
          <t>SOURCED</t>
        </is>
      </c>
      <c r="B12" s="8" t="inlineStr">
        <is>
          <t>Share price &amp; share count</t>
        </is>
      </c>
      <c r="C12" s="46" t="inlineStr">
        <is>
          <t>$54.69/share; ~22.35mm diluted shares (~$1.22-1.26bn market cap) — 2025/2026 market data.</t>
        </is>
      </c>
    </row>
    <row r="13" ht="48" customHeight="1">
      <c r="A13" s="4" t="inlineStr">
        <is>
          <t>ESTIMATE</t>
        </is>
      </c>
      <c r="B13" s="8" t="inlineStr">
        <is>
          <t>FY2025A cash, capex, D&amp;A</t>
        </is>
      </c>
      <c r="C13" s="46" t="inlineStr">
        <is>
          <t>Exact FY2025 fiscal-year-end balance sheet / cash-flow-statement figures were not retrieved this session (only partial-year 10-Q data surfaced in search). FY2024A actuals are used as the closest available proxy where a FY2025A figure was not confirmed — see individual cells for detail.</t>
        </is>
      </c>
    </row>
    <row r="14" ht="48" customHeight="1">
      <c r="A14" s="49" t="inlineStr">
        <is>
          <t>ASSUMPTION</t>
        </is>
      </c>
      <c r="B14" s="8" t="inlineStr">
        <is>
          <t>30% offer premium -&gt; $71.10/share offer price</t>
        </is>
      </c>
      <c r="C14" s="46" t="inlineStr">
        <is>
          <t>Illustrative premium in line with recent going-private consumer/restaurant transactions (typically 25%-40% to undisturbed price). Not based on any actual proposal for CBRL.</t>
        </is>
      </c>
    </row>
    <row r="15" ht="48" customHeight="1">
      <c r="A15" s="49" t="inlineStr">
        <is>
          <t>ASSUMPTION</t>
        </is>
      </c>
      <c r="B15" s="8" t="inlineStr">
        <is>
          <t>4.5x total entry leverage (1.0x TLA / 2.0x TLB / 1.5x Notes)</t>
        </is>
      </c>
      <c r="C15" s="46" t="inlineStr">
        <is>
          <t>Illustrative, moderate sponsor capital structure for a real-estate-heavy restaurant chain — CBRL's owned real estate (~$960mm net PP&amp;E FY24A) provides incremental collateral value / sale-leaseback optionality supporting this leverage level. Flex on the Transaction Assumptions tab to stress-test a more aggressive (5.5x+) or conservative (3.5x) structure.</t>
        </is>
      </c>
    </row>
    <row r="16" ht="48" customHeight="1">
      <c r="A16" s="49" t="inlineStr">
        <is>
          <t>ASSUMPTION</t>
        </is>
      </c>
      <c r="B16" s="8" t="inlineStr">
        <is>
          <t>Debt pricing (TLA 7.00%, TLB 7.75%, Notes 8.50%, Revolver 6.75%)</t>
        </is>
      </c>
      <c r="C16" s="46" t="inlineStr">
        <is>
          <t>Illustrative spreads over a ~4.3% SOFR proxy, consistent with a ~4.5x-levered, sub-investment-grade sponsor financing in the Sept-2026 rate environment.</t>
        </is>
      </c>
    </row>
    <row r="17" ht="48" customHeight="1">
      <c r="A17" s="49" t="inlineStr">
        <is>
          <t>ASSUMPTION</t>
        </is>
      </c>
      <c r="B17" s="8" t="inlineStr">
        <is>
          <t>Revenue growth (2.0%-3.0%/yr), EBITDA margin expansion (6.45% -&gt; 7.10%)</t>
        </is>
      </c>
      <c r="C17" s="46" t="inlineStr">
        <is>
          <t>Illustrative post-LBO operating plan: modest same-store-sales growth plus sponsor-driven cost/margin initiatives (labor optimization, purchasing scale, G&amp;A reduction) typical of a real LBO 100-day plan. NOT company guidance.</t>
        </is>
      </c>
    </row>
    <row r="18" ht="48" customHeight="1">
      <c r="A18" s="49" t="inlineStr">
        <is>
          <t>ASSUMPTION</t>
        </is>
      </c>
      <c r="B18" s="8" t="inlineStr">
        <is>
          <t>75% cash flow sweep (to TLB, then TLA); TLA 5%/yr and TLB 1%/yr mandatory amortization</t>
        </is>
      </c>
      <c r="C18" s="46" t="inlineStr">
        <is>
          <t>Standard leveraged-loan market terms for a similarly-structured sponsor deal.</t>
        </is>
      </c>
    </row>
    <row r="19" ht="48" customHeight="1">
      <c r="A19" s="49" t="inlineStr">
        <is>
          <t>ASSUMPTION</t>
        </is>
      </c>
      <c r="B19" s="8" t="inlineStr">
        <is>
          <t>5-year hold; exit at 9.0x EV/EBITDA (~flat to entry ~9.2x)</t>
        </is>
      </c>
      <c r="C19" s="46" t="inlineStr">
        <is>
          <t>Conservative 'no multiple expansion' base case — returns are driven by EBITDA growth and debt paydown, not multiple arbitrage.</t>
        </is>
      </c>
    </row>
    <row r="20" ht="48" customHeight="1">
      <c r="A20" s="50" t="inlineStr">
        <is>
          <t>METHODOLOGY</t>
        </is>
      </c>
      <c r="B20" s="8" t="inlineStr">
        <is>
          <t>Revolver/cash-sweep mechanic &amp; why interest uses beginning balances</t>
        </is>
      </c>
      <c r="C20" s="46" t="inlineStr">
        <is>
          <t>A textbook LBO debt schedule is circular (interest expense depends on the ending balance after that period's amortization/sweep, which depends on free cash flow, which depends on interest expense). This workbook deliberately calculates interest expense on the BEGINNING-of-period balance of each tranche instead of the average balance — a standard simplification that breaks the circularity entirely while keeping mandatory amortization, the TLB-then-TLA cash sweep, and the revolver draw/paydown fully dynamic. This ensures the file recalculates cleanly with zero formula errors in any spreadsheet application, with no dependency on Excel's iterative-calculation setting. The trade-off is minor: it slightly understates/overstates interest expense in a period a tranche balance moves sharply, since that period's own paydown is not reflected in its own interest calculation until the following period.</t>
        </is>
      </c>
    </row>
    <row r="21" ht="48" customHeight="1">
      <c r="A21" s="50" t="inlineStr">
        <is>
          <t>METHODOLOGY</t>
        </is>
      </c>
      <c r="B21" s="8" t="inlineStr">
        <is>
          <t>Sensitivity 2 (IRR by entry premium)</t>
        </is>
      </c>
      <c r="C21" s="46" t="inlineStr">
        <is>
          <t>A fully-dynamic re-solve of the circular debt schedule for every premium scenario is impractical in a static spreadsheet grid, so this table holds the DOLLAR AMOUNT of new debt and cash used at close fixed across scenarios (i.e., financing is sized off EBITDA, consistent with real leveraged-loan market practice) and flexes only the sponsor equity check and resulting IRR/MOIC. This is a standard simplification but should not be read as a fully re-run scenario the way Sensitivity 1 (exit year x exit multiple, which uses the model's actual per-year figures) is.</t>
        </is>
      </c>
    </row>
  </sheetData>
  <mergeCells count="1">
    <mergeCell ref="A3:C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2026-09-10T13:22:41Z</dcterms:created>
  <dcterms:modified xsi:type="dcterms:W3CDTF">2026-09-10T13:22:42Z</dcterms:modified>
</cp:coreProperties>
</file>